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ancolombia.sharepoint.com/teams/DIRECCINESTRATEGIACORPORATIVA/Documentos compartidos/General/FORMULACIÓN ESTRATÉGICA/ESTRATEGIA CORPORATIVA/Modelo de Internacionalización/RADAR/"/>
    </mc:Choice>
  </mc:AlternateContent>
  <xr:revisionPtr revIDLastSave="154" documentId="8_{5E054524-8A00-4EF2-9FCE-C727E9CE62BA}" xr6:coauthVersionLast="47" xr6:coauthVersionMax="47" xr10:uidLastSave="{A5F7BE3E-66BE-4F6B-A735-66EBE2FCFD81}"/>
  <bookViews>
    <workbookView xWindow="-108" yWindow="-108" windowWidth="20376" windowHeight="12096" tabRatio="500" xr2:uid="{00000000-000D-0000-FFFF-FFFF00000000}"/>
  </bookViews>
  <sheets>
    <sheet name="Diccionario de Variables" sheetId="1" r:id="rId1"/>
    <sheet name="Leyenda y Metodología" sheetId="2" r:id="rId2"/>
  </sheets>
  <definedNames>
    <definedName name="_xlnm._FilterDatabase" localSheetId="0" hidden="1">'Diccionario de Variables'!$A$6:$R$46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H10" i="2"/>
  <c r="T29" i="1"/>
  <c r="T36" i="1"/>
  <c r="T43" i="1"/>
  <c r="T19" i="1"/>
  <c r="T7" i="1"/>
  <c r="G10" i="2"/>
  <c r="F10" i="2"/>
  <c r="B6" i="2" l="1"/>
  <c r="B7" i="2"/>
  <c r="B8" i="2"/>
  <c r="B9" i="2"/>
  <c r="B5" i="2"/>
  <c r="B10" i="2" l="1"/>
</calcChain>
</file>

<file path=xl/sharedStrings.xml><?xml version="1.0" encoding="utf-8"?>
<sst xmlns="http://schemas.openxmlformats.org/spreadsheetml/2006/main" count="768" uniqueCount="385">
  <si>
    <t>GRUPO CIBEST  |  PROYECTO RADAR</t>
  </si>
  <si>
    <t>Diccionario Consolidado de Variables para Sistema de Scoring Multicriterio</t>
  </si>
  <si>
    <t>Dimensión</t>
  </si>
  <si>
    <t>#</t>
  </si>
  <si>
    <t>Variable</t>
  </si>
  <si>
    <t>Descripción</t>
  </si>
  <si>
    <t>Utilidad del indicador</t>
  </si>
  <si>
    <t>Importancia por línea de negocio</t>
  </si>
  <si>
    <t>Tipo</t>
  </si>
  <si>
    <t>Dir.</t>
  </si>
  <si>
    <t>Fuente oficial</t>
  </si>
  <si>
    <t>URL descarga directa</t>
  </si>
  <si>
    <t>Frecuencia</t>
  </si>
  <si>
    <t>Proxy alternativa</t>
  </si>
  <si>
    <t>Respaldo en literatura</t>
  </si>
  <si>
    <t>IB</t>
  </si>
  <si>
    <t>PF</t>
  </si>
  <si>
    <t>AD</t>
  </si>
  <si>
    <t>BD</t>
  </si>
  <si>
    <t>CIB</t>
  </si>
  <si>
    <t>D1. Macroeconómica</t>
  </si>
  <si>
    <t>PIB nominal (USD corrientes)</t>
  </si>
  <si>
    <t>Qué mide: tamaño absoluto de la economía medido como producción anual en dólares corrientes. Incluye bienes y servicios finales producidos en el país. Impacto: dirección positiva; mayor PIB aumenta escala potencial de clientes, empresas, transacciones e inversión, aunque debe leerse junto con ingreso per cápita y riesgo país.</t>
  </si>
  <si>
    <t>Genérica</t>
  </si>
  <si>
    <t>+</t>
  </si>
  <si>
    <t>World Bank — World Development Indicators</t>
  </si>
  <si>
    <t>https://databank.worldbank.org/metadataglossary/world-development-indicators/series/NY.GDP.MKTP.CD</t>
  </si>
  <si>
    <t>Anual</t>
  </si>
  <si>
    <t>IMF WEO (https://www.imf.org/en/Publications/WEO)</t>
  </si>
  <si>
    <t>Focarelli &amp; Pozzolo (2005); Brei &amp; von Peter (2018)</t>
  </si>
  <si>
    <t>A</t>
  </si>
  <si>
    <t>B</t>
  </si>
  <si>
    <t>PIB per cápita PPA (USD internacionales)</t>
  </si>
  <si>
    <t>Qué mide: ingreso promedio por habitante ajustado por paridad de poder adquisitivo. Incluye riqueza generada por persona corregida por diferencias de precios. Impacto: dirección positiva; valores altos elevan capacidad de ahorro, consumo financiero e inversión.</t>
  </si>
  <si>
    <t>Distingue mercados grandes de bajo poder adquisitivo frente a mercados con mayor monetización potencial por cliente.</t>
  </si>
  <si>
    <t>World Bank — WDI (NY.GDP.PCAP.PP.CD)</t>
  </si>
  <si>
    <t>https://databank.worldbank.org/metadataglossary/world-development-indicators/series/NY.GDP.PCAP.CD</t>
  </si>
  <si>
    <t>IMF WEO</t>
  </si>
  <si>
    <t>Čihák et al. (2012); Ghemawat (2001)</t>
  </si>
  <si>
    <t>Crecimiento real del PIB (% a/a)</t>
  </si>
  <si>
    <t>Qué mide: variación anual de la producción en términos reales. Incluye expansión o contracción del volumen económico. Impacto: dirección positiva; mayor crecimiento anticipa expansión de crédito, consumo, inversión corporativa y pagos.</t>
  </si>
  <si>
    <t>Señal adelantada de dinamismo futuro y expansión de ingresos financieros.</t>
  </si>
  <si>
    <t>World Bank — WDI (NY.GDP.MKTP.KD.ZG)</t>
  </si>
  <si>
    <t>https://databank.worldbank.org/metadataglossary/world-development-indicators/series/NY.GDP.MKTP.KD.ZG</t>
  </si>
  <si>
    <t>Anual/Trim.</t>
  </si>
  <si>
    <t>CEPALSTAT (https://statistics.cepal.org/portal/cepalstat/)</t>
  </si>
  <si>
    <t>Claessens &amp; Van Horen (2014); Galindo et al. (2010)</t>
  </si>
  <si>
    <t>Inflación IPC (% anual)</t>
  </si>
  <si>
    <t>Qué mide: variación anual del índice de precios al consumidor. Incluye cambios en el costo de vida. Impacto: dirección negativa; inflación alta erosiona poder adquisitivo, presiona tasas y deteriora calidad crediticia.</t>
  </si>
  <si>
    <t>Evalúa estabilidad nominal, riesgo de originación y confiabilidad para proyectar márgenes reales.</t>
  </si>
  <si>
    <t>−</t>
  </si>
  <si>
    <t>World Bank — WDI (FP.CPI.TOTL.ZG)</t>
  </si>
  <si>
    <t>https://databank.worldbank.org/metadataglossary/world-development-indicators/series/FP.CPI.TOTL.ZG</t>
  </si>
  <si>
    <t>Financial system deposits to GDP (%)</t>
  </si>
  <si>
    <t>IMF IFS (https://data.imf.org/IFS)</t>
  </si>
  <si>
    <t>Čihák et al. (2012); Chainalysis (2024)</t>
  </si>
  <si>
    <t>Población total</t>
  </si>
  <si>
    <t>Qué mide: número total de habitantes. Incluye base potencial de clientes y mercado laboral. Impacto: dirección positiva; mayor población amplía el mercado direccionable, condicionado por ingreso, urbanización y conectividad.</t>
  </si>
  <si>
    <t>Sirve para estimar escala potencial de productos retail, pagos y banca digital.</t>
  </si>
  <si>
    <t>IB: A: define base de clientes para captación y crédito.; PF: A: mayor población amplía volumen potencial de pagos y remesas domésticas.; AD: A: mayor base direccionable mejora potencial de adopción digital.; BD: A: clave para modelos digitales escalables con costos fijos altos.; CIB: B: influye indirectamente; CIB depende más del tejido corporativo y mercados de capitales.. Criterio sustentado en la literatura/proxy de la fila: Dunning (1988); Focarelli &amp; Pozzolo (2005).</t>
  </si>
  <si>
    <t>World Bank — WDI (SP.POP.TOTL)</t>
  </si>
  <si>
    <t>https://databank.worldbank.org/metadataglossary/world-development-indicators/series/SP.POP.TOTL</t>
  </si>
  <si>
    <t>World Bank WDI (SP.POP.TOTL)</t>
  </si>
  <si>
    <t>Dunning (1988); Focarelli &amp; Pozzolo (2005)</t>
  </si>
  <si>
    <t>Tasa de urbanización (% población urbana)</t>
  </si>
  <si>
    <t>Qué mide: proporción de población urbana. Incluye concentración de hogares, comercios y empresas. Impacto: dirección positiva; mayor urbanización reduce costos de adquisición y servicio, y mejora viabilidad digital.</t>
  </si>
  <si>
    <t>Anticipa eficiencia de cobertura comercial y facilidad para escalar canales digitales o híbridos.</t>
  </si>
  <si>
    <t>IB: A: concentración urbana reduce costo de distribución y mejora acceso a clientes.; PF: A: ciudades concentran comercios, POS, pagos recurrentes y digitalización.; AD: B: apoya adopción, pero pesa menos que regulación e infraestructura digital segura.; BD: A: facilita adquisición digital, delivery de servicios y economías de red.; CIB: B: es indirecta; CIB se explica más por estructura empresarial y capitales.. Criterio sustentado en la literatura/proxy de la fila: Demirgüç-Kunt et al. (2022); BID-Finnovista (2024).</t>
  </si>
  <si>
    <t>World Bank — WDI (SP.URB.TOTL.IN.ZS)</t>
  </si>
  <si>
    <t>https://databank.worldbank.org/metadataglossary/world-development-indicators/series/SP.URB.TOTL.IN.ZS</t>
  </si>
  <si>
    <t>UN DESA</t>
  </si>
  <si>
    <t>Demirgüç-Kunt et al. (2022); BID-Finnovista (2024)</t>
  </si>
  <si>
    <t>Desempleo total (% fuerza laboral)</t>
  </si>
  <si>
    <t>Qué mide: porcentaje de la fuerza laboral desempleada y buscando trabajo. Incluye presión del mercado laboral y capacidad de generación de ingresos de hogares. Impacto: dirección negativa; mayor desempleo reduce capacidad de pago, consumo y ahorro, y eleva riesgo de mora y tensión social.</t>
  </si>
  <si>
    <t>Complementa PIB e inflación con una señal social y de demanda efectiva. Es útil para anticipar presión sobre cartera, demanda de productos financieros y estabilidad del mercado destino.</t>
  </si>
  <si>
    <t>World Bank — WDI (SL.UEM.TOTL.ZS)</t>
  </si>
  <si>
    <t>https://databank.worldbank.org/metadataglossary/world-development-indicators/series/SL.UEM.TOTL.ZS</t>
  </si>
  <si>
    <t>SL.UEM.TOTL.NE.ZS; ILOSTAT</t>
  </si>
  <si>
    <t>Demirgüç-Kunt et al. (2022); IMF FSI (2022); Claessens &amp; Van Horen (2014)</t>
  </si>
  <si>
    <t>Cuenta corriente / PIB (%)</t>
  </si>
  <si>
    <t>Qué mide: saldo de cuenta corriente como porcentaje del PIB. Incluye comercio de bienes y servicios, rentas y transferencias con el exterior. Impacto: dirección +/−; superávits o déficits moderados sugieren sostenibilidad externa, mientras déficits altos elevan presión cambiaria y dependencia de financiamiento externo.</t>
  </si>
  <si>
    <t>Permite evaluar vulnerabilidad externa, disponibilidad de divisas y riesgo de choques que afecten pagos internacionales, fondeo, CIB y estabilidad macrofinanciera.</t>
  </si>
  <si>
    <t>+/−</t>
  </si>
  <si>
    <t>World Bank — WDI (BN.CAB.XOKA.GD.ZS)</t>
  </si>
  <si>
    <t>https://databank.worldbank.org/metadataglossary/world-development-indicators/series/BN.CAB.XOKA.GD.ZS</t>
  </si>
  <si>
    <t>IMF Balance of Payments; IMF WEO</t>
  </si>
  <si>
    <t>Galindo et al. (2010); Brei &amp; von Peter (2018); Portes &amp; Rey (2005)</t>
  </si>
  <si>
    <t>Deuda pública / PIB (%)</t>
  </si>
  <si>
    <t>Qué mide: deuda del gobierno central como porcentaje del PIB. Incluye obligaciones fiscales del gobierno central. Impacto: dirección negativa; mayor deuda reduce espacio fiscal, puede elevar riesgo soberano, tasas de interés y probabilidad de ajustes regulatorios o tributarios.</t>
  </si>
  <si>
    <t>Evalúa sostenibilidad fiscal, costo de capital país y resiliencia ante choques. Es crítica para inversiones de largo plazo y exposición bancaria.</t>
  </si>
  <si>
    <t>World Bank — WDI (GC.DOD.TOTL.GD.ZS)</t>
  </si>
  <si>
    <t>https://databank.worldbank.org/metadataglossary/world-development-indicators/series/GC.DOD.TOTL.GD.ZS</t>
  </si>
  <si>
    <t>IMF WEO deuda pública general</t>
  </si>
  <si>
    <t>IMF (2022); Galindo et al. (2010); Brei &amp; von Peter (2018)</t>
  </si>
  <si>
    <t>Apertura comercial (% PIB)</t>
  </si>
  <si>
    <t>Qué mide: exportaciones más importaciones de bienes y servicios como porcentaje del PIB. Incluye grado de integración de la economía con el comercio internacional. Impacto: dirección positiva; mayor apertura aumenta flujos cross-border, necesidades de pagos, tesorería, comercio exterior y banca corporativa.</t>
  </si>
  <si>
    <t>Identifica mercados con actividad internacional relevante y mayor potencial para pagos transfronterizos, FX, cash management, trade finance y CIB.</t>
  </si>
  <si>
    <t>World Bank — WDI (NE.TRD.GNFS.ZS)</t>
  </si>
  <si>
    <t>https://databank.worldbank.org/metadataglossary/world-development-indicators/series/NE.TRD.GNFS.ZS</t>
  </si>
  <si>
    <t>UNCTADstat; UN Comtrade; WITS</t>
  </si>
  <si>
    <t>Tinbergen (1962); Anderson (2003); Portes &amp; Rey (2005)</t>
  </si>
  <si>
    <t>Inversión extranjera directa neta / PIB (%)</t>
  </si>
  <si>
    <t>Qué mide: entradas netas de inversión extranjera directa como porcentaje del PIB. Incluye capital, reinversión de utilidades e instrumentos relacionados. Impacto: dirección positiva; mayor IED indica confianza de inversionistas, apertura al capital externo y actividad corporativa dinámica.</t>
  </si>
  <si>
    <t>Sirve para detectar mercados con apetito de inversión y oportunidades para financiación, advisory, M&amp;A, cash management y servicios a multinacionales.</t>
  </si>
  <si>
    <t>World Bank — WDI (BX.KLT.DINV.WD.GD.ZS)</t>
  </si>
  <si>
    <t>https://databank.worldbank.org/metadataglossary/world-development-indicators/series/BX.KLT.DINV.WD.GD.ZS</t>
  </si>
  <si>
    <t>UNCTADstat FDI inflows; IMF BoP</t>
  </si>
  <si>
    <t>Dunning (1988); Focarelli &amp; Pozzolo (2005); Claessens &amp; Van Horen (2014)</t>
  </si>
  <si>
    <t>Tarifa aplicada promedio ponderada (%)</t>
  </si>
  <si>
    <t>Qué mide: arancel promedio aplicado a productos importados, ponderado por flujos comerciales. Incluye barreras arancelarias efectivas al comercio de bienes. Impacto: dirección negativa; tarifas altas encarecen comercio, reducen integración y limitan flujos corporativos.</t>
  </si>
  <si>
    <t>Evalúa fricción comercial y atractivo para clientes importadores/exportadores, pagos internacionales, comercio exterior y banca corporativa transaccional.</t>
  </si>
  <si>
    <t>World Bank — WDI (TM.TAX.MRCH.WM.AR.ZS)</t>
  </si>
  <si>
    <t>https://databank.worldbank.org/metadataglossary/world-development-indicators/series/TM.TAX.MRCH.WM.AR.ZS</t>
  </si>
  <si>
    <t>WITS tariff indicators; WTO tariff profiles</t>
  </si>
  <si>
    <t>Anderson (2003); Tinbergen (1962); WTO (2024)</t>
  </si>
  <si>
    <t>D2. Industria Financiera</t>
  </si>
  <si>
    <t>Crédito privado / PIB (%)</t>
  </si>
  <si>
    <t>Qué mide: crédito interno bancario al sector privado como porcentaje del PIB. Incluye préstamos y recursos financieros a hogares y empresas. Impacto: +/−; alto valor refleja profundidad, pero puede sugerir saturación; bajo valor puede indicar inclusión pendiente.</t>
  </si>
  <si>
    <t>Evalúa profundidad crediticia y espacio para originación, inclusión financiera o banca corporativa.</t>
  </si>
  <si>
    <t>World Bank — Global Financial Development Database FD.AST.PRVT.GD.ZS (Crédito interno al sector privado otorgado por los bancos % del PIB)</t>
  </si>
  <si>
    <t>https://databank.worldbank.org/metadataglossary/world-development-indicators/series/FD.AST.PRVT.GD.ZS</t>
  </si>
  <si>
    <t>GFDD.DI.01 (Private credit by deposit money banks to GDP %)</t>
  </si>
  <si>
    <t>Čihák et al. (2012); Claessens et al. (2001)</t>
  </si>
  <si>
    <t>Adultos con cuenta bancaria (%)</t>
  </si>
  <si>
    <t>Qué mide: adultos con cuenta en institución financiera o servicio móvil. Incluye acceso formal o móvil. Impacto: +/−; alta bancarización reduce fricción comercial; baja bancarización puede ser oportunidad digital si hay conectividad.</t>
  </si>
  <si>
    <t>Mide inclusión financiera y potencial de expansión de cuentas, pagos, captación y productos digitales.</t>
  </si>
  <si>
    <t>IB: A: por su efecto directo en captación, crédito, rentabilidad o riesgo de balance.; PF: A: porque incide en profundidad de cuentas y confianza transaccional, aunque no siempre determina adopción de pagos.; AD: B: porque aporta contexto de madurez financiera, pero activos digitales dependen más de regulación, infraestructura y adopción digital.; BD: A: porque condiciona inclusión, riesgo y oportunidad de modelos digitales de bajo costo.; CIB: B: porque refleja profundidad financiera, estabilidad bancaria y oportunidades corporativas.. Criterio sustentado en la literatura/proxy de la fila: Demirgüç-Kunt et al. (2022); BID-Finnovista (2024).</t>
  </si>
  <si>
    <t>World Bank — Global Findex Database FX.OWN.TOTL.ZS Cuenta en una institución financiera o servicio de dinero móvil (% de la población de 15 años o más).</t>
  </si>
  <si>
    <t>https://databank.worldbank.org/metadataglossary/world-development-indicators/series/FX.OWN.TOTL.ZS</t>
  </si>
  <si>
    <t>Trienal</t>
  </si>
  <si>
    <t>GFDD.AI.01</t>
  </si>
  <si>
    <t>Concentración bancaria (%)</t>
  </si>
  <si>
    <t>Qué mide: activos de los cinco bancos más grandes como proporción del total. Incluye dominio de incumbentes. Impacto: negativo; mayor concentración suele elevar barreras de entrada y dificultad competitiva.</t>
  </si>
  <si>
    <t>Anticipa intensidad competitiva y viabilidad de estrategias orgánicas, alianzas o adquisiciones.</t>
  </si>
  <si>
    <t>World Bank — Global Financial Development Database (GFDD.OI.06)</t>
  </si>
  <si>
    <t>https://databank.worldbank.org/metadataglossary/global-financial-development/series/GFDD.OI.06</t>
  </si>
  <si>
    <t>GFDD.OI.01 (Top-3 assets share)</t>
  </si>
  <si>
    <t>Claessens &amp; Van Horen (2014); Čihák et al. (2012)</t>
  </si>
  <si>
    <t xml:space="preserve">Margen de intermendiación </t>
  </si>
  <si>
    <t>Qué mide: diferencia entre tasa activa y pasiva. Incluye costo bruto de intermediación. Impacto: positivo con cautela; márgenes altos pueden mejorar rentabilidad, pero también reflejar riesgo o ineficiencia.</t>
  </si>
  <si>
    <t>Estima potencial de margen financiero y oportunidad para modelos de menor costo.</t>
  </si>
  <si>
    <t>World Bank — WDI (FR.INR.LNDP)</t>
  </si>
  <si>
    <t>https://databank.worldbank.org/metadataglossary/world-development-indicators/series/FR.INR.LNDP</t>
  </si>
  <si>
    <t>GFDD.EI.02</t>
  </si>
  <si>
    <t>Claessens et al. (2001); Čihák et al. (2012)</t>
  </si>
  <si>
    <t>Índice de cartera vencida (%)</t>
  </si>
  <si>
    <t>Qué mide: préstamos improductivos sobre cartera bruta. Incluye créditos con atraso o baja probabilidad de pago. Impacto: negativo; mayor mora aumenta provisiones, pérdidas y riesgo sistémico.</t>
  </si>
  <si>
    <t>Señal crítica de calidad crediticia del sistema financiero destino.</t>
  </si>
  <si>
    <t>World Bank — WDI (FB.AST.NPER.ZS)</t>
  </si>
  <si>
    <t>https://databank.worldbank.org/metadataglossary/world-development-indicators/series/FB.AST.NPER.ZS</t>
  </si>
  <si>
    <t>Trimestral</t>
  </si>
  <si>
    <t>GFDD.SI.02</t>
  </si>
  <si>
    <t>IMF FSI (2022); Gómez-González &amp; Kiefer (2009)</t>
  </si>
  <si>
    <t>Capitalización bursátil domestica / PIB (%)</t>
  </si>
  <si>
    <t>Qué mide: valor de mercado de empresas listadas como porcentaje del PIB. Incluye profundidad del mercado accionario. Impacto: positivo; mayor valor indica liquidez y sofisticación financiera.</t>
  </si>
  <si>
    <t>Evalúa oportunidad para banca de inversión, wealth, asset management y mercados de capitales.</t>
  </si>
  <si>
    <t>World Bank — WDI (CM.MKT. LCAP.GD. ZS)</t>
  </si>
  <si>
    <t>https://databank.worldbank.org/metadataglossary/world-development-indicators/series/CM.MKT.LCAP.GD.ZS</t>
  </si>
  <si>
    <t>WDI (CM.MKT.LCAP.GD.ZS)</t>
  </si>
  <si>
    <t>Portes &amp; Rey (2005); Čihák et al. (2012)</t>
  </si>
  <si>
    <t>Depósitos / PIB (%)</t>
  </si>
  <si>
    <t>Qué mide: depósitos del sistema financiero sobre PIB. Incluye depósitos vista, ahorro y plazo. Impacto: positivo; mayor nivel indica confianza y fondeo disponible.</t>
  </si>
  <si>
    <t>Evalúa capacidad de captación, liquidez sistémica y profundidad financiera.</t>
  </si>
  <si>
    <t>IB: A: por su efecto directo en captación, crédito, rentabilidad o riesgo de balance.; PF: A: porque incide en profundidad de cuentas y confianza transaccional, aunque no siempre determina adopción de pagos.; AD: B: porque aporta contexto de madurez financiera, pero activos digitales dependen más de regulación, infraestructura y adopción digital.; BD: A: porque condiciona inclusión, riesgo y oportunidad de modelos digitales de bajo costo.; CIB: B: porque refleja profundidad financiera, estabilidad bancaria y oportunidades corporativas.. Criterio sustentado en la literatura/proxy de la fila: Čihák et al. (2012); Focarelli &amp; Pozzolo (2005).</t>
  </si>
  <si>
    <t>World Bank — GFDD (GFDD.DI.08)</t>
  </si>
  <si>
    <t>https://databank.worldbank.org/metadataglossary/global-financial-development/series/GFDD.DI.08</t>
  </si>
  <si>
    <t>FM.LBL.BMNY.GD.ZS (broad money)</t>
  </si>
  <si>
    <t>Čihák et al. (2012); Focarelli &amp; Pozzolo (2005)</t>
  </si>
  <si>
    <t>Remesas recibidas / PIB (%)</t>
  </si>
  <si>
    <t>Qué mide: remesas personales recibidas como porcentaje del PIB. Incluye transferencias de trabajadores y compensaciones transfronterizas. Impacto: positivo; mayor peso indica corredores relevantes para pagos y giros.</t>
  </si>
  <si>
    <t>Identifica mercados con flujos familiares recurrentes para pagos, remesas digitales y cuentas transaccionales.</t>
  </si>
  <si>
    <t>IB: B: por su efecto directo en captación, crédito, rentabilidad o riesgo de balance.; PF: A: porque incide en profundidad de cuentas y confianza transaccional, aunque no siempre determina adopción de pagos.; AD: A: porque aporta contexto de madurez financiera, pero activos digitales dependen más de regulación, infraestructura y adopción digital.; BD: A: porque condiciona inclusión, riesgo y oportunidad de modelos digitales de bajo costo.; CIB: B: porque refleja profundidad financiera, estabilidad bancaria y oportunidades corporativas.. Criterio sustentado en la literatura/proxy de la fila: Chainalysis (2024); BID-Finnovista (2024).</t>
  </si>
  <si>
    <t>World Bank — WDI (BX. TRF. PWKR. DT.GD. ZS)</t>
  </si>
  <si>
    <t>https://databank.worldbank.org/metadataglossary/world-development-indicators/series/BX.TRF.PWKR.DT.GD.ZS</t>
  </si>
  <si>
    <t>Chainalysis (2024); BID-Finnovista (2024)</t>
  </si>
  <si>
    <t>ROE del sector bancario (%)</t>
  </si>
  <si>
    <t>Qué mide: rentabilidad sobre patrimonio del sistema bancario. Incluye utilidad neta generada por capital bancario. Impacto: positivo con cautela; ROE alto valida atractivo, pero extremos pueden reflejar concentración o riesgo.</t>
  </si>
  <si>
    <t>Compara rentabilidad estructural del sector y expectativas de retorno.</t>
  </si>
  <si>
    <t>World Bank — GFDD (	GFDD.EI.06)</t>
  </si>
  <si>
    <t>https://databank.worldbank.org/metadataglossary/global-financial-development/series/GFDD.EI.06</t>
  </si>
  <si>
    <t>GFDD.EI.05 (ROA)</t>
  </si>
  <si>
    <t>Capital regulatorio / activos ponderados por riesgo (%)</t>
  </si>
  <si>
    <t>Qué mide: capital regulatorio sobre activos ponderados por riesgo. Incluye capacidad de absorción de pérdidas. Impacto: positivo; mayor solvencia reduce fragilidad sistémica.</t>
  </si>
  <si>
    <t>Mide robustez bancaria y resiliencia del sistema para operar.</t>
  </si>
  <si>
    <t>World Bank — GFDD (GFDD.SI.05)</t>
  </si>
  <si>
    <t>https://databank.worldbank.org/metadataglossary/global-financial-development/series/GFDD.SI.05</t>
  </si>
  <si>
    <t>FB.BNK.CAPA.ZS</t>
  </si>
  <si>
    <t>IMF FSI (2022); BCBS</t>
  </si>
  <si>
    <t>D3. Institucional</t>
  </si>
  <si>
    <t>Calidad regulatoria (0-100)</t>
  </si>
  <si>
    <t>Qué mide: capacidad del gobierno para formular e implementar reglas pro-mercado. Incluye calidad normativa y carga regulatoria. Impacto: positivo; mejores reglas reducen incertidumbre y costos de entrada.</t>
  </si>
  <si>
    <t>Variable transversal para licencias, operación, adquisición o alianzas.</t>
  </si>
  <si>
    <t>World Bank — Worldwide Governance Indicators WGI score (GOV_WGI_RQ.SC)</t>
  </si>
  <si>
    <t>https://www.worldbank.org/en/publication/worldwide-governance-indicators</t>
  </si>
  <si>
    <t>Heritage Regulatory Efficiency</t>
  </si>
  <si>
    <t>Kaufmann et al. (2010); Claessens &amp; Van Horen (2014)</t>
  </si>
  <si>
    <t>Efectividad del gobierno  (0-100)</t>
  </si>
  <si>
    <t>Qué mide: calidad de servicios públicos, burocracia e implementación de políticas. Incluye capacidad administrativa. Impacto: positivo; mayor efectividad facilita permisos, supervisión y ejecución.</t>
  </si>
  <si>
    <t>Anticipa fricciones administrativas y confiabilidad institucional.</t>
  </si>
  <si>
    <t>World Bank — Worldwide Governance Indicators</t>
  </si>
  <si>
    <t>—</t>
  </si>
  <si>
    <t>Kaufmann et al. (2010)</t>
  </si>
  <si>
    <t>Estado de derecho  (0-100)</t>
  </si>
  <si>
    <t>Qué mide: confianza en contratos, propiedad y justicia. Incluye enforcement judicial y seguridad jurídica. Impacto: positivo; mayor estado de derecho reduce riesgo contractual y mejora garantías.</t>
  </si>
  <si>
    <t>Fundamental para crédito, inversión, CIB y protección legal.</t>
  </si>
  <si>
    <t>World Justice Project RoL Index (https://worldjusticeproject.org/rule-of-law-index/)</t>
  </si>
  <si>
    <t>Kaufmann et al. (2010); Guillén &amp; Tschoegl (2008)</t>
  </si>
  <si>
    <t>Control de la corrupción  (0-100)</t>
  </si>
  <si>
    <t>Qué mide: percepción de uso del poder público para beneficio privado. Incluye riesgo de corrupción y captura. Impacto: positivo; mayor control reduce riesgo reputacional, legal y de compliance.</t>
  </si>
  <si>
    <t>Clave para estándares AML/CFT, debida diligencia y gobierno corporativo.</t>
  </si>
  <si>
    <t>Transparency International CPI (https://www.transparency.org/en/cpi)</t>
  </si>
  <si>
    <t>Kaufmann et al. (2010); Transparency Int. (2024)</t>
  </si>
  <si>
    <t>Estabilidad política  (0-100)</t>
  </si>
  <si>
    <t>Qué mide: probabilidad percibida de inestabilidad política o violencia. Incluye riesgo de disrupción institucional. Impacto: positivo; mayor estabilidad mejora horizonte de inversión.</t>
  </si>
  <si>
    <t>Evalúa continuidad regulatoria y riesgo de eventos que afecten operaciones.</t>
  </si>
  <si>
    <t>ICRG Political Risk</t>
  </si>
  <si>
    <t>Kaufmann et al. (2010); Galindo et al. (2010)</t>
  </si>
  <si>
    <t>Índice de libertad económica (0–100)</t>
  </si>
  <si>
    <t>Qué mide: apertura pro-mercado, libertad de inversión y eficiencia regulatoria. Incluye restricciones estatales y financieras. Impacto: positivo; mayor libertad facilita entrada, operación y repatriación.</t>
  </si>
  <si>
    <t>Evalúa compatibilidad del país con estrategias de expansión privada.</t>
  </si>
  <si>
    <t>Heritage Foundation — Index of Economic Freedom disponible por descarga "heritage-index-of-economic-freedom-2026-05-02_2040.csv"</t>
  </si>
  <si>
    <t>https://economicfreedom.heritage.org/pages/all-country-scores</t>
  </si>
  <si>
    <t>Fraser Institute EFW (https://www.fraserinstitute.org/economic-freedom/dataset)</t>
  </si>
  <si>
    <t>Heritage (2025); Focarelli &amp; Pozzolo (2005)</t>
  </si>
  <si>
    <t>Prima de Riesgo País</t>
  </si>
  <si>
    <t>Qué mide: retorno adicional exigido por invertir en el país. Incluye riesgos políticos, económicos, cambiarios y legales. Impacto: negativo; mayor prima encarece capital y reduce atractivo ajustado por riesgo.</t>
  </si>
  <si>
    <t>Ajusta decisiones de inversión, valoración y costo de capital.</t>
  </si>
  <si>
    <t>Damodaran - NYU Stern</t>
  </si>
  <si>
    <t>pages.stern.nyu.edu/~adamodar/New_Home_Page/datafile/ctryprem.html</t>
  </si>
  <si>
    <t>Bloomberg EMBIG; JP Morgan</t>
  </si>
  <si>
    <t>Galindo et al. (2010); Brei &amp; von Peter (2018)</t>
  </si>
  <si>
    <t>D4. Tecnológica</t>
  </si>
  <si>
    <t>Penetración de internet (% población)</t>
  </si>
  <si>
    <t>Qué mide: porcentaje de personas que usan internet. Incluye acceso desde hogar, trabajo, escuela o móvil. Impacto: positivo; mayor penetración habilita adquisición digital y operación remota.</t>
  </si>
  <si>
    <t>Prerrequisito para escalar banca digital, pagos y servicios digitales.</t>
  </si>
  <si>
    <t>IB: B: habilita canales digitales complementarios, pero IB puede operar con redes tradicionales.; PF: A: es base mínima para pagos digitales, recaudos y transferencias.; AD: A: activos digitales requieren usuarios conectados y educación digital.; BD: A: banca digital depende directamente del acceso a internet.; CIB: B: habilita servicios transaccionales, pero CIB depende más de profundidad corporativa.. Criterio sustentado en la literatura/proxy de la fila: BID-Finnovista (2024); Demirgüç-Kunt et al. (2022).</t>
  </si>
  <si>
    <t>World Bank WDI</t>
  </si>
  <si>
    <t>https://databank.worldbank.org/metadataglossary/world-development-indicators/series/IT.NET.USER.ZS</t>
  </si>
  <si>
    <t>WDI (IT.NET.USER.ZS)</t>
  </si>
  <si>
    <t>BID-Finnovista (2024); Demirgüç-Kunt et al. (2022)</t>
  </si>
  <si>
    <t>Qué mide: suscripciones móviles por 100 habitantes. Incluye líneas prepago y pospago activas. Impacto: positivo; mayor penetración amplía canal para apps, billeteras y comunicación.</t>
  </si>
  <si>
    <t>Evalúa viabilidad de modelos mobile-first.</t>
  </si>
  <si>
    <t>IB: B: apoya contacto y originación digital, pero no define el core tradicional.; PF: A: pagos y billeteras suelen ser mobile-first.; AD: A: billeteras y custodia digital requieren canal móvil.; BD: A: banca digital retail escala principalmente por smartphones/móvil.; CIB: B: efecto indirecto sobre servicios corporativos.. Criterio sustentado en la literatura/proxy de la fila: BID-Finnovista (2024); Frost (2020).</t>
  </si>
  <si>
    <t>https://databank.worldbank.org/metadataglossary/world-development-indicators/series/IT.CEL.SETS.P2</t>
  </si>
  <si>
    <t>Statista; ITU</t>
  </si>
  <si>
    <t>BID-Finnovista (2024); Frost (2020)</t>
  </si>
  <si>
    <t>Qué mide: adultos que hicieron o recibieron pagos digitales. Incluye tarjeta, móvil, internet, transferencias y dinero móvil. Impacto: positivo; mayor adopción acelera monetización.</t>
  </si>
  <si>
    <t>Señal directa de preparación del consumidor para pagos y banca digital.</t>
  </si>
  <si>
    <t>IB: B: facilita cross-sell, pero no determina intermediación tradicional.; PF: A: mide directamente cultura y uso de pagos digitales.; AD: A: valida disposición a usar dinero/activos financieros digitales.; BD: A: evidencia preparación del usuario para operar financieramente sin sucursal.; CIB: B: relevante para transaccionalidad, pero menos para banca de inversión.. Criterio sustentado en la literatura/proxy de la fila: Demirgüç-Kunt et al. (2022); BID-Finnovista (2024).</t>
  </si>
  <si>
    <t>World Bank — Global Findex (g20.made)</t>
  </si>
  <si>
    <t>https://www.worldbank.org/en/publication/globalfindex/Data</t>
  </si>
  <si>
    <t>BIS CPMI Red Book (https://www.bis.org/cpmi/publ/)</t>
  </si>
  <si>
    <t>Servidores seguros de internet (por millón de personas)</t>
  </si>
  <si>
    <t>Qué mide: servidores seguros de internet por millón de personas. Incluye infraestructura certificada para transacciones y comunicaciones seguras. Impacto: dirección positiva; mayor valor refleja capacidad para operar servicios digitales confiables, comercio electrónico y transacciones financieras seguras.</t>
  </si>
  <si>
    <t>Evalúa la ciberinfraestructura necesaria para banca digital, pagos, onboarding remoto, custodia digital y operación transaccional segura.</t>
  </si>
  <si>
    <t>IB: B: reduce riesgo operativo digital, pero no es driver primario de banca tradicional.; PF: A: pagos exigen infraestructura segura y confiable.; AD: A: custodia, billeteras y activos digitales requieren ciberinfraestructura robusta.; BD: A: onboarding, autenticación y operación digital dependen de seguridad.; CIB: B: apoyo para canales corporativos, aunque no principal driver.. Criterio sustentado en la literatura/proxy de la fila: BID-Finnovista (2024); Demirgüç-Kunt et al. (2022); World Bank Digital Economy.</t>
  </si>
  <si>
    <t>World Bank — WDI (IT.NET.SECR.P6)</t>
  </si>
  <si>
    <t>https://databank.worldbank.org/metadataglossary/world-development-indicators/series/IT.NET.SECR.P6</t>
  </si>
  <si>
    <t>Netcraft Secure Server Survey; ITU ICT indicators</t>
  </si>
  <si>
    <t>BID-Finnovista (2024); Demirgüç-Kunt et al. (2022); World Bank Digital Economy</t>
  </si>
  <si>
    <t>Sucursales bancarias (por 100.000 adultos)</t>
  </si>
  <si>
    <t>Qué mide: sucursales de bancos comerciales por cada 100.000 adultos. Incluye presencia física bancaria. Impacto: dirección +/−; mayor capilaridad favorece intermediación tradicional y confianza, pero también puede señalar incumbencia fuerte; menor presencia puede abrir oportunidad digital si existe conectividad.</t>
  </si>
  <si>
    <t>Distingue mercados donde la distribución física sigue siendo relevante frente a mercados donde un modelo digital puede cerrar brechas de acceso.</t>
  </si>
  <si>
    <t>IB: A: mide capilaridad física y soporte para captación/colocación tradicional.; PF: B: ayuda cash-in/cash-out, pero pagos modernos dependen más de canales digitales y aceptación.; AD: B: efecto limitado; activos digitales requieren infraestructura tecnológica, no sucursales.; BD: B: puede indicar infraestructura incumbente y posible oportunidad si hay brecha digital, pero no es driver directo.; CIB: B: presencia bancaria apoya relaciones, pero CIB se explica por tejido corporativo.. Criterio sustentado en la literatura/proxy de la fila: Demirgüç-Kunt et al. (2022); Čihák et al. (2012); BID-Finnovista (2024).</t>
  </si>
  <si>
    <t>World Bank — WDI (FB.CBK.BRCH.P5)</t>
  </si>
  <si>
    <t>https://databank.worldbank.org/metadataglossary/world-development-indicators/series/FB.CBK.BRCH.P5</t>
  </si>
  <si>
    <t>IMF Financial Access Survey</t>
  </si>
  <si>
    <t>Demirgüç-Kunt et al. (2022); Čihák et al. (2012); BID-Finnovista (2024)</t>
  </si>
  <si>
    <t>Cajeros automáticos (por 100.000 adultos)</t>
  </si>
  <si>
    <t>Qué mide: cajeros automáticos por cada 100.000 adultos. Incluye infraestructura de retiro, consulta y autoservicio. Impacto: dirección +/−; mayor disponibilidad facilita cash-in/cash-out y transición digital; baja disponibilidad puede limitar pagos pero abrir espacio para billeteras.</t>
  </si>
  <si>
    <t>Evalúa infraestructura transaccional básica y dependencia del efectivo, clave para pagos, remesas y adopción de cuentas digitales.</t>
  </si>
  <si>
    <t>IB: B: complementa servicios bancarios básicos, pero no define rentabilidad crediticia.; PF: A: facilita cash-in/cash-out, remesas y transición desde efectivo a pagos digitales.; AD: B: relación indirecta con ecosistema de efectivo/digital.; BD: B: útil para modelos híbridos, pero banca digital busca reducir dependencia física.; CIB: B: impacto marginal en clientes corporativos.. Criterio sustentado en la literatura/proxy de la fila: Demirgüç-Kunt et al. (2022); BIS CPMI Red Book; BID-Finnovista (2024).</t>
  </si>
  <si>
    <t>World Bank — WDI (FB.ATM.TOTL.P5)</t>
  </si>
  <si>
    <t>https://databank.worldbank.org/metadataglossary/world-development-indicators/series/FB.ATM.TOTL.P5</t>
  </si>
  <si>
    <t>Demirgüç-Kunt et al. (2022); BIS CPMI Red Book; BID-Finnovista (2024)</t>
  </si>
  <si>
    <t>Exportaciones de productos TIC (% exportaciones de productos)</t>
  </si>
  <si>
    <t>Qué mide: participación de bienes TIC en exportaciones de productos. Incluye hardware, componentes electrónicos y bienes tecnológicos. Impacto: dirección positiva; mayor proporción sugiere ecosistema tecnológico más sofisticado, talento digital y capacidades productivas asociadas.</t>
  </si>
  <si>
    <t>Funciona como proxy de madurez tecnológica del mercado y potencial para adoptar negocios digitales avanzados, activos digitales y banca digital.</t>
  </si>
  <si>
    <t>IB: B: señal de sofisticación económica, pero no determina intermediación tradicional.; PF: B: puede apoyar ecosistema digital, aunque pagos dependen más de adopción.; AD: A: indica talento, infraestructura y sofisticación tecnológica relevantes para activos digitales.; BD: A: favorece disponibilidad de ecosistema tecnológico y capacidades digitales.; CIB: B: aporta contexto sectorial, pero no define profundidad de capitales.. Criterio sustentado en la literatura/proxy de la fila: World Bank Digital Economy; BID-Finnovista (2024); Frost (2020).</t>
  </si>
  <si>
    <t>World Bank — WDI (TX.VAL.ICTG.ZS.UN)</t>
  </si>
  <si>
    <t>https://databank.worldbank.org/metadataglossary/world-development-indicators/series/TX.VAL.ICTG.ZS.UN</t>
  </si>
  <si>
    <t>UNCTADstat ICT goods exports; ITU ICT indicators</t>
  </si>
  <si>
    <t>World Bank Digital Economy; BID-Finnovista (2024); Frost (2020)</t>
  </si>
  <si>
    <t>D5. Proximidad Colombia</t>
  </si>
  <si>
    <t>Distancia geográfica Bogotá–capital (km)</t>
  </si>
  <si>
    <t>Qué mide: distancia física entre Bogotá y capital destino. Incluye costos de viaje, supervisión y coordinación. Impacto: negativo; mayor distancia eleva fricción operativa.</t>
  </si>
  <si>
    <t>Captura costos de internacionalización no visibles en indicadores macro.</t>
  </si>
  <si>
    <t>CEPII — GeoDist Database</t>
  </si>
  <si>
    <t>http://www.cepii.fr/CEPII/en/bdd_modele/bdd_modele_item.asp?id=6</t>
  </si>
  <si>
    <t>Estática</t>
  </si>
  <si>
    <t>Cálculo haversine propio</t>
  </si>
  <si>
    <t>Mayer &amp; Zignago (2011); Brei &amp; von Peter (2018)</t>
  </si>
  <si>
    <t>Idioma común español (0/1)</t>
  </si>
  <si>
    <t>Qué mide: si el país comparte español oficial o ampliamente usado. Incluye afinidad lingüística para clientes, talento y contratos. Impacto: positivo; reduce costos de entrada y adaptación.</t>
  </si>
  <si>
    <t>Acelera go-to-market, servicio al cliente y transferencia de capacidades.</t>
  </si>
  <si>
    <t>CEPII — GeoDist (variable comlang_off)</t>
  </si>
  <si>
    <t>CIA World Factbook (https://www.cia.gov/the-world-factbook/)</t>
  </si>
  <si>
    <t>Mayer &amp; Zignago (2011); Guillén &amp; Tschoegl (2008)</t>
  </si>
  <si>
    <t>Distancia cultural Kogut–Singh (Hofstede 6-dim)</t>
  </si>
  <si>
    <t>Qué mide: diferencia cultural entre Colombia y destino usando Hofstede. Incluye dimensiones culturales de gestión y consumo. Impacto: negativo; mayor distancia aumenta fricción de ejecución.</t>
  </si>
  <si>
    <t>Estima riesgo de adaptación comercial e integración organizacional.</t>
  </si>
  <si>
    <t>Hofstede Insights — Country Comparison Tool, disponibl epor descaga hofstede_country_scores.csv</t>
  </si>
  <si>
    <t>https://www.kaggle.com/datasets/seydakaba/hofstede-cultural-dimensions-by-country?resource=download</t>
  </si>
  <si>
    <t>GLOBE Project (https://globeproject.com/results)</t>
  </si>
  <si>
    <t>Hofstede et al. (2010); Ghemawat (2001)</t>
  </si>
  <si>
    <t>Diáspora colombiana</t>
  </si>
  <si>
    <t>Qué mide: salidas de colombianos hacia destino como proxy migratorio. Incluye flujo registrado de personas. Impacto: positivo; mayores vínculos elevan potencial de remesas y afinidad de marca.</t>
  </si>
  <si>
    <t>Identifica corredores naturales de clientes, pagos y relaciones con Colombia.</t>
  </si>
  <si>
    <t>IB: B: puede habilitar productos para migrantes, pero la variable es proxy y no tamaño financiero confirmado.; PF: B: relevante para remesas, aunque se mantiene básico por usar salidas como proxy imperfecta de stock migratorio.; AD: B: puede apoyar remesas digitales, pero depende de regulación/adopción.; BD: B: puede apoyar adquisición de nichos, no mercado masivo.; CIB: B: impacto indirecto y limitado en banca corporativa.. Criterio experto aplicado por relación directa con el modelo de negocio y el scoring multicriterio.</t>
  </si>
  <si>
    <t>gobierno colombiano: Datos.gov.co, que suministra información de la Unidad Administrativa Especial Migración Colombia</t>
  </si>
  <si>
    <t>https://www.datos.gov.co/resource/efw5-jiej.json?$query=SELECT%20a_o%2C%20mes%2C%20pa_s_destino%2C%20codigo_m49%2C%20femenino%2C%20masculino%2C%20indefinido%2C%20total%2C%20ubicacion_pcm%20SEARCH%20%222025%22</t>
  </si>
  <si>
    <t>GRUPO CIBEST  |  PROYECTO RADAR  |  Leyenda del Diccionario</t>
  </si>
  <si>
    <t>DIMENSIONES</t>
  </si>
  <si>
    <t>Tamaño, crecimiento, estabilidad nominal y demografía del país destino.</t>
  </si>
  <si>
    <t>Profundización, inclusión, eficiencia, estabilidad, rentabilidad y flujos del sistema bancario.</t>
  </si>
  <si>
    <t>Gobernanza, regulación, corrupción, estabilidad política, apertura económica y riesgo soberano.</t>
  </si>
  <si>
    <t>Infraestructura digital, adopción de pagos digitales</t>
  </si>
  <si>
    <t>COLUMNAS DEL DICCIONARIO</t>
  </si>
  <si>
    <t>Clasificación temática (D1–D5).</t>
  </si>
  <si>
    <t>Nombre técnico del indicador.</t>
  </si>
  <si>
    <t>Qué mide y cómo se interpreta el valor (alto/bajo).</t>
  </si>
  <si>
    <t>Genérica (aplica a todas las líneas) o Específica (diferencia entre líneas).</t>
  </si>
  <si>
    <t>Dirección esperada sobre el atractivo del mercado.</t>
  </si>
  <si>
    <t>+ favorable / − desfavorable / +/− ambigua</t>
  </si>
  <si>
    <t>Proveedor de los datos primarios.</t>
  </si>
  <si>
    <t>URL descarga</t>
  </si>
  <si>
    <t>Enlace directo al portal donde se descargan los datos.</t>
  </si>
  <si>
    <t>Periodicidad de actualización del dato.</t>
  </si>
  <si>
    <t>Fuente sustituta si la primaria no está disponible.</t>
  </si>
  <si>
    <t>Respaldo literatura</t>
  </si>
  <si>
    <t>Referencias académicas que validan la variable.</t>
  </si>
  <si>
    <t>Relevancia de la variable para cada línea de negocio.</t>
  </si>
  <si>
    <t>LÍNEAS DE NEGOCIO DE GRUPO CIBEST</t>
  </si>
  <si>
    <t>Intermediación Bancaria</t>
  </si>
  <si>
    <t>Captación y colocación: crédito consumo, hipotecario, comercial, microcrédito; depósitos y CDTs. Sin dependencia digital.</t>
  </si>
  <si>
    <t>Pagos y Flujos</t>
  </si>
  <si>
    <t>Tarjetas débito/crédito, recaudos, pagos, transferencias, giros y remesas.</t>
  </si>
  <si>
    <t>Activos Digitales</t>
  </si>
  <si>
    <t>Criptoactivos, tokens, monedas estables/digitales, staking, billeteras, custodia digital.</t>
  </si>
  <si>
    <t>Bancos Digitales</t>
  </si>
  <si>
    <t>Operación 100% digital (Nequi, Wenia). Venta digital de productos bancarios.</t>
  </si>
  <si>
    <t>Corporate &amp; Investment Banking</t>
  </si>
  <si>
    <t>Estructuración financiera, banca de inversión, corretaje, soluciones transaccionales, Wealth y Asset Management.</t>
  </si>
  <si>
    <t>USO EN LA ARQUITECTURA MCDM HÍBRIDA</t>
  </si>
  <si>
    <t>1. Ponderación BWM</t>
  </si>
  <si>
    <t>La alta dirección asigna pesos a las 5 dimensiones mediante Best-Worst Method (Rezaei, 2015) en una sesión de 30–45 min. Solo se requieren 2n−3 = 7 comparaciones.</t>
  </si>
  <si>
    <t>2. Normalización</t>
  </si>
  <si>
    <t>Las 41 variables se normalizan (min–max o vector). Variables con dirección '−' se invierten para que mayor valor siempre signifique mayor atractivo.</t>
  </si>
  <si>
    <t>3. Ranking TOPSIS</t>
  </si>
  <si>
    <t>Con pesos BWM y matriz normalizada se calcula la distancia de cada país a la solución ideal positiva y negativa. Output: Closeness Coefficient Ci* ∈ [0,1].</t>
  </si>
  <si>
    <t>4. Señales por línea</t>
  </si>
  <si>
    <t>5. Validación</t>
  </si>
  <si>
    <t>VIKOR como test de robustez; CR del BWM &lt; 0.10 como consistencia; sensibilidad ±20% sobre pesos; actualización anual automática de datos vía APIs de las fuentes listadas.</t>
  </si>
  <si>
    <t xml:space="preserve">Permite dimensionar mercado total </t>
  </si>
  <si>
    <t>IB / PF / AD / BD / CIB</t>
  </si>
  <si>
    <t>Utilidad</t>
  </si>
  <si>
    <t>A = Alta (verde)  |  B = Baja (gris) A = impacto alto/directo en ingresos, riesgo, licencia, ejecución o escalabilidad de la línea. B = impacto básico/indirecto o complementario.</t>
  </si>
  <si>
    <t>que señal permite captar el indicador: escala, riesgo, regulación, infraestructura, adopción digital, proximidad y profundidad de mercado , etc.</t>
  </si>
  <si>
    <t>Número consecutivo de la variable</t>
  </si>
  <si>
    <t>41 variables organizadas en 5 dimensiones | Mayo 2026 | Versión ejecutiva actualizada con importancia por línea</t>
  </si>
  <si>
    <t>explica individualmente por qué cada variable es A o B para IB, pt, AD, BD y CIB.</t>
  </si>
  <si>
    <t>Se ejecuta TOPSIS cinco veces enfatizando las variables marcadas 'A' para cada línea (IB/pt/AD/BD/CIB), produciendo 5 rankings paralelos.</t>
  </si>
  <si>
    <t xml:space="preserve">IB: A: mayor ingreso real mejora capacidad de ahorro, endeudamiento y pago de hogares.; PF: A: aumenta consumo formal y uso de medios de pago.; AD: A: eleva capacidad de invertir en productos digitales y asumir volatilidad.; BD: A: favorece monetización por usuario y contratación de productos digitales.; CIB: A: se asocia con sofisticación económica, riqueza financiera y clientes de alto valor.. </t>
  </si>
  <si>
    <t>IB: A: crecimiento impulsa demanda de crédito y reduce deterioro relativo de cartera.; PF: A: más actividad económica aumenta pagos, recaudos y transferencias.; AD: A: mercados dinámicos adoptan innovación financiera con mayor rapidez.; BD: A: crecimiento amplía mercado retail y apetito por soluciones digitales.; CIB: A: mayor inversión corporativa genera financiación, M&amp;A y advisory.</t>
  </si>
  <si>
    <t>IB: A: afecta tasas, fondeo, mora y valor real de cartera.; PF: A: inflación alta altera hábitos transaccionales y reduce consumo real.; AD: A: puede impulsar demanda de refugio digital, pero bajo mayor riesgo macro y regulatorio; por eso se mide como riesgo alto.; BD: A: erosiona capacidad de pago retail y encarece adquisición/fondeo.; CIB: A: impacta costo de capital, valuaciones, FX y apetito inversor.</t>
  </si>
  <si>
    <t>IB: A: desempleo deteriora capacidad de pago y aumenta riesgo de mora.; PF: B: reduce consumo y pagos, pero el efecto es menos directo que en crédito.; AD: B: afecta ingreso disponible, aunque adopción depende más de digitalización/regulación.; BD: A: banca digital retail depende de ingresos recurrentes y estabilidad del usuario.; CIB: A: desempleo alto señala debilidad macro y menor inversión corporativa.</t>
  </si>
  <si>
    <t>IB: B: afecta fondeo y FX de forma indirecta.; PF: B: relevante para pagos internacionales, pero no determina adopción doméstica.; AD: B: puede influir en demanda de activos alternativos, pero no es driver principal.; BD: B: impacto macro indirecto sobre estabilidad del consumidor.; CIB: A: fundamental para riesgo externo, financiamiento en divisas y apetito de inversionistas.</t>
  </si>
  <si>
    <t>IB: A: deuda alta presiona tasas, riesgo soberano y estabilidad regulatoria.; PF: B: afecta entorno macro, pero pagos dependen más de adopción y flujos.; AD: B: puede incidir en confianza monetaria, pero indirectamente.; BD: A: riesgo fiscal puede afectar fondeo, regulación y demanda retail.; CIB: A: incide en costo de capital, deuda soberana, ratings y financiación corporativa.</t>
  </si>
  <si>
    <t>IB: B: genera actividad empresarial, pero no define por sí sola intermediación retail.; PF: A: mayor comercio impulsa pagos transfronterizos, recaudos, FX y soluciones de comercio.; AD: B: puede habilitar flujos digitales, pero depende de regulación y adopción.; BD: B: impacto indirecto sobre clientes digitales.; CIB: A: clave para trade finance, cash management, FX, deuda y advisory corporativo.</t>
  </si>
  <si>
    <t xml:space="preserve">IB: B: aumenta actividad económica, pero su efecto en banca retail es indirecto.; PF: B: puede generar pagos empresariales, aunque no es driver principal.; AD: B: señal de apertura, pero no implica readiness digital.; BD: B: puede favorecer ecosistema, pero no determina adopción retail.; CIB: A: IED genera mandatos de financiación, M&amp;A, treasury y servicios corporativos.. </t>
  </si>
  <si>
    <t>IB: B: afecta indirectamente empresas importadoras/exportadoras.; PF: A: tarifas condicionan comercio y, por tanto, pagos internacionales y flujos transaccionales.; AD: B: impacto indirecto, salvo modelos ligados a cross-border.; BD: B: baja relación directa con banca digital retail.; CIB: A: clave para trade finance, estructuración y clientes corporativos expuestos a comercio..</t>
  </si>
  <si>
    <t xml:space="preserve">IB: A: por su efecto directo en captación, crédito, rentabilidad o riesgo de balance.; PF: B: porque incide en profundidad de cuentas y confianza transaccional, aunque no siempre determina adopción de pagos.; AD: B: porque aporta contexto de madurez financiera, pero activos digitales dependen más de regulación, infraestructura y adopción digital.; BD: B: porque condiciona inclusión, riesgo y oportunidad de modelos digitales de bajo costo.; CIB: A: porque refleja profundidad financiera, estabilidad bancaria y oportunidades corporativas.. </t>
  </si>
  <si>
    <t>IB: A: por su efecto directo en captación, crédito, rentabilidad o riesgo de balance.; PF: A: porque incide en profundidad de cuentas y confianza transaccional, aunque no siempre determina adopción de pagos.; AD: B: porque aporta contexto de madurez financiera, pero activos digitales dependen más de regulación, infraestructura y adopción digital.; BD: A: porque condiciona inclusión, riesgo y oportunidad de modelos digitales de bajo costo.; CIB: A: porque refleja profundidad financiera, estabilidad bancaria y oportunidades corporativas..</t>
  </si>
  <si>
    <t xml:space="preserve">IB: A: por su efecto directo en captación, crédito, rentabilidad o riesgo de balance.; PF: B: porque incide en profundidad de cuentas y confianza transaccional, aunque no siempre determina adopción de pagos.; AD: B: porque aporta contexto de madurez financiera, pero activos digitales dependen más de regulación, infraestructura y adopción digital.; BD: A: porque condiciona inclusión, riesgo y oportunidad de modelos digitales de bajo costo.; CIB: A: porque refleja profundidad financiera, estabilidad bancaria y oportunidades corporativas.. </t>
  </si>
  <si>
    <t>IB: B: por su efecto directo en captación, crédito, rentabilidad o riesgo de balance.; PF: B: porque incide en profundidad de cuentas y confianza transaccional, aunque no siempre determina adopción de pagos.; AD: A: porque aporta contexto de madurez financiera, pero activos digitales dependen más de regulación, infraestructura y adopción digital.; BD: B: porque condiciona inclusión, riesgo y oportunidad de modelos digitales de bajo costo.; CIB: A: porque refleja profundidad financiera, estabilidad bancaria y oportunidades corporativas..</t>
  </si>
  <si>
    <t>IB: A: porque la banca regulada depende de licencias, supervisión, contratos y cumplimiento.; PF: A: porque pagos y flujos requieren reglas claras, protección al consumidor y continuidad operativa.; AD: A: porque activos digitales son altamente sensibles a regulación, compliance y reputación.; BD: A: porque bancos digitales requieren licenciamiento, datos, protección al consumidor y confianza institucional.; CIB: A: porque operaciones corporativas dependen de contratos, enforcement, estabilidad y riesgo país..</t>
  </si>
  <si>
    <t xml:space="preserve">IB: A: porque la banca regulada depende de licencias, supervisión, contratos y cumplimiento.; PF: A: porque pagos y flujos requieren reglas claras, protección al consumidor y continuidad operativa.; AD: A: porque activos digitales son altamente sensibles a regulación, compliance y reputación.; BD: A: porque bancos digitales requieren licenciamiento, datos, protección al consumidor y confianza institucional.; CIB: A: porque operaciones corporativas dependen de contratos, enforcement, estabilidad y riesgo país.. </t>
  </si>
  <si>
    <t xml:space="preserve">IB: A: porque la banca regulada depende de licencias, supervisión, contratos y cumplimiento.; PF: B: porque pagos y flujos requieren reglas claras, protección al consumidor y continuidad operativa.; AD: B: porque activos digitales son altamente sensibles a regulación, compliance y reputación.; BD: A: porque bancos digitales requieren licenciamiento, datos, protección al consumidor y confianza institucional.; CIB: A: porque operaciones corporativas dependen de contratos, enforcement, estabilidad y riesgo país.. </t>
  </si>
  <si>
    <t xml:space="preserve">IB: A: distancia eleva costos de supervisión, gobierno y despliegue de operación bancaria.; PF: A: pagos/remesas se benefician de proximidad para alianzas y gestión de corredores.; AD: B: operación digital reduce fricción física, aunque no la elimina.; BD: A: facilita transferencia operativa, talento y gestión regional.; CIB: A: relación corporativa y originación requieren presencia y viajes frecuentes.. </t>
  </si>
  <si>
    <t xml:space="preserve">IB: A: reduce fricción en atención, contratos y gestión comercial.; PF: A: facilita educación del cliente, soporte y adopción de pagos/remesas.; AD: A: reduce barreras de confianza y comprensión de productos complejos.; BD: A: mejora UX, servicio y adquisición digital.; CIB: A: facilita negociación, documentación y relación ejecutiva.. </t>
  </si>
  <si>
    <t xml:space="preserve">IB: A: menor distancia reduce riesgo de adaptación comercial y gestión de talento.; PF: A: pagos dependen de hábitos de consumo y confianza cultural.; AD: A: productos digitales complejos requieren confianza y educación culturalmente ajustada.; BD: A: UX y servicio digital deben adaptarse a normas culturales.; CIB: A: negociación, relación corporativa e integración dependen de afinidad cultural.. </t>
  </si>
  <si>
    <t xml:space="preserve">IB: A: la intermediación necesita escala económica para justificar red, balance y capacidad de originar cartera; la literatura de expansión bancaria vincula tamaño de mercado con atractivo de entrada.; PF: A: economías grandes concentran más comercios, nóminas, recaudos y transacciones, lo que aumenta volumen procesable y economías de red.; AD: B: el tamaño macro ayuda, pero activos digitales dependen más de adopción digital, regulación y confianza tecnológica que del PIB bruto.; BD: A: mayor escala poblacional y económica permite diluir CAC, tecnología y cumplimiento en un modelo digital de bajo margen unitario.; CIB: A: CIB requiere base corporativa amplia, deals, financiamiento y mercados; el PIB es proxy directo de tamaño empresarial. </t>
  </si>
  <si>
    <t>Distancia física, cultural, lingüística y migratoria con Colombia–país destino.</t>
  </si>
  <si>
    <t>Suscripciones de telefonía móvil</t>
  </si>
  <si>
    <t>Adultos que reciben o realizan pagos digitales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</si>
</sst>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charset val="1"/>
    </font>
    <font>
      <sz val="9"/>
      <color rgb="FF6B7280"/>
      <name val="Arial"/>
      <family val="2"/>
    </font>
    <font>
      <b/>
      <sz val="10"/>
      <color rgb="FFFFFFFF"/>
      <name val="Arial"/>
      <family val="2"/>
    </font>
    <font>
      <b/>
      <sz val="9"/>
      <color rgb="FF0D1B2A"/>
      <name val="Arial"/>
      <family val="2"/>
    </font>
    <font>
      <b/>
      <sz val="9"/>
      <color rgb="FF1B4D6E"/>
      <name val="Arial"/>
      <family val="2"/>
    </font>
    <font>
      <b/>
      <sz val="9"/>
      <color rgb="FF1A1A2E"/>
      <name val="Arial"/>
      <family val="2"/>
    </font>
    <font>
      <sz val="9"/>
      <color rgb="FF1A1A2E"/>
      <name val="Arial"/>
      <family val="2"/>
    </font>
    <font>
      <b/>
      <sz val="10"/>
      <color rgb="FF059669"/>
      <name val="Arial"/>
      <family val="2"/>
    </font>
    <font>
      <u/>
      <sz val="8"/>
      <color rgb="FF1B4D6E"/>
      <name val="Arial"/>
      <family val="2"/>
    </font>
    <font>
      <b/>
      <sz val="9"/>
      <color rgb="FF065F46"/>
      <name val="Arial"/>
      <family val="2"/>
    </font>
    <font>
      <b/>
      <sz val="10"/>
      <color rgb="FFDC2626"/>
      <name val="Arial"/>
      <family val="2"/>
    </font>
    <font>
      <b/>
      <sz val="10"/>
      <color rgb="FFB45309"/>
      <name val="Arial"/>
      <family val="2"/>
    </font>
    <font>
      <b/>
      <sz val="14"/>
      <color rgb="FF0D1B2A"/>
      <name val="Arial"/>
      <family val="2"/>
    </font>
    <font>
      <b/>
      <sz val="11"/>
      <color rgb="FFFFFFFF"/>
      <name val="Arial"/>
      <family val="2"/>
    </font>
    <font>
      <b/>
      <sz val="10"/>
      <color rgb="FF0D1B2A"/>
      <name val="Arial"/>
      <family val="2"/>
    </font>
    <font>
      <sz val="10"/>
      <color rgb="FF1A1A2E"/>
      <name val="Arial"/>
      <family val="2"/>
    </font>
    <font>
      <b/>
      <sz val="10"/>
      <color rgb="FF1B4D6E"/>
      <name val="Arial"/>
      <family val="2"/>
    </font>
    <font>
      <i/>
      <sz val="10"/>
      <color rgb="FF6B7280"/>
      <name val="Arial"/>
      <family val="2"/>
    </font>
    <font>
      <b/>
      <sz val="10"/>
      <color rgb="FF065F46"/>
      <name val="Arial"/>
      <family val="2"/>
    </font>
    <font>
      <u/>
      <sz val="11"/>
      <color theme="10"/>
      <name val="Calibri"/>
      <family val="2"/>
      <charset val="1"/>
    </font>
    <font>
      <sz val="7"/>
      <color theme="1"/>
      <name val="Segoe UI"/>
      <family val="2"/>
    </font>
    <font>
      <sz val="11"/>
      <color theme="1"/>
      <name val="Calibri"/>
      <family val="2"/>
      <charset val="1"/>
    </font>
    <font>
      <b/>
      <sz val="16"/>
      <name val="Arial"/>
      <family val="2"/>
    </font>
    <font>
      <sz val="11"/>
      <name val="Calibri"/>
      <family val="2"/>
      <charset val="1"/>
    </font>
    <font>
      <i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8B931"/>
        <bgColor rgb="FFFF9900"/>
      </patternFill>
    </fill>
    <fill>
      <patternFill patternType="solid">
        <fgColor rgb="FF0D1B2A"/>
        <bgColor rgb="FF1A1A2E"/>
      </patternFill>
    </fill>
    <fill>
      <patternFill patternType="solid">
        <fgColor rgb="FFE8F1F7"/>
        <bgColor rgb="FFF3F4F6"/>
      </patternFill>
    </fill>
    <fill>
      <patternFill patternType="solid">
        <fgColor rgb="FFD1FAE5"/>
        <bgColor rgb="FFE8F1F7"/>
      </patternFill>
    </fill>
    <fill>
      <patternFill patternType="solid">
        <fgColor rgb="FFF3F4F6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DBEAFE"/>
        <bgColor rgb="FFE8F1F7"/>
      </patternFill>
    </fill>
    <fill>
      <patternFill patternType="solid">
        <fgColor rgb="FFE2F0D9"/>
      </patternFill>
    </fill>
    <fill>
      <patternFill patternType="solid">
        <fgColor theme="1"/>
        <bgColor rgb="FF1A1A2E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/>
    <xf numFmtId="0" fontId="19" fillId="0" borderId="0"/>
    <xf numFmtId="9" fontId="2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17" fillId="0" borderId="0" xfId="0" applyFont="1"/>
    <xf numFmtId="0" fontId="16" fillId="0" borderId="0" xfId="0" applyFont="1" applyAlignment="1">
      <alignment vertical="top" wrapText="1"/>
    </xf>
    <xf numFmtId="0" fontId="19" fillId="7" borderId="1" xfId="1" applyFill="1" applyBorder="1" applyAlignment="1">
      <alignment vertical="top" wrapText="1"/>
    </xf>
    <xf numFmtId="0" fontId="19" fillId="0" borderId="1" xfId="1" applyBorder="1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9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14" fillId="10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5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9" fontId="0" fillId="0" borderId="0" xfId="0" applyNumberFormat="1"/>
    <xf numFmtId="0" fontId="19" fillId="0" borderId="0" xfId="1"/>
    <xf numFmtId="0" fontId="2" fillId="12" borderId="0" xfId="0" applyFont="1" applyFill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wrapText="1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164" fontId="0" fillId="0" borderId="0" xfId="2" applyNumberFormat="1" applyFont="1"/>
    <xf numFmtId="0" fontId="15" fillId="0" borderId="0" xfId="0" applyFont="1" applyAlignment="1">
      <alignment vertical="top" wrapText="1"/>
    </xf>
    <xf numFmtId="0" fontId="0" fillId="0" borderId="0" xfId="0"/>
    <xf numFmtId="0" fontId="12" fillId="0" borderId="0" xfId="0" applyFont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3" fillId="12" borderId="0" xfId="0" applyFont="1" applyFill="1" applyAlignment="1">
      <alignment vertical="top" wrapText="1"/>
    </xf>
    <xf numFmtId="0" fontId="0" fillId="13" borderId="0" xfId="0" applyFill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</cellXfs>
  <cellStyles count="3">
    <cellStyle name="Hipervínculo" xfId="1" builtinId="8"/>
    <cellStyle name="Normal" xfId="0" builtinId="0"/>
    <cellStyle name="Porcentaje" xfId="2" builtinId="5"/>
  </cellStyles>
  <dxfs count="2">
    <dxf>
      <font>
        <color rgb="FF065F46"/>
      </font>
      <fill>
        <patternFill>
          <bgColor rgb="FFD1FAE5"/>
        </patternFill>
      </fill>
    </dxf>
    <dxf>
      <font>
        <color theme="1" tint="0.34998626667073579"/>
      </font>
      <fill>
        <patternFill>
          <bgColor rgb="FFF3F4F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9FAFB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8F1F7"/>
      <rgbColor rgb="FFD1FAE5"/>
      <rgbColor rgb="FFF3F4F6"/>
      <rgbColor rgb="FF99CCFF"/>
      <rgbColor rgb="FFFF99CC"/>
      <rgbColor rgb="FFCC99FF"/>
      <rgbColor rgb="FFFEE2E2"/>
      <rgbColor rgb="FF3366FF"/>
      <rgbColor rgb="FF33CCCC"/>
      <rgbColor rgb="FF99CC00"/>
      <rgbColor rgb="FFE8B931"/>
      <rgbColor rgb="FFFF9900"/>
      <rgbColor rgb="FFFF6600"/>
      <rgbColor rgb="FF6B7280"/>
      <rgbColor rgb="FF969696"/>
      <rgbColor rgb="FF1B4D6E"/>
      <rgbColor rgb="FF339966"/>
      <rgbColor rgb="FF0D1B2A"/>
      <rgbColor rgb="FF333300"/>
      <rgbColor rgb="FFB45309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3F4F6"/>
      <color rgb="FF065F46"/>
      <color rgb="FFD1F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Bancolombi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bank.worldbank.org/metadataglossary/global-financial-development/series/GFDD.DI.08" TargetMode="External"/><Relationship Id="rId18" Type="http://schemas.openxmlformats.org/officeDocument/2006/relationships/hyperlink" Target="https://www.worldbank.org/en/publication/worldwide-governance-indicators" TargetMode="External"/><Relationship Id="rId26" Type="http://schemas.openxmlformats.org/officeDocument/2006/relationships/hyperlink" Target="https://www.worldbank.org/en/publication/globalfindex/Data" TargetMode="External"/><Relationship Id="rId3" Type="http://schemas.openxmlformats.org/officeDocument/2006/relationships/hyperlink" Target="https://databank.worldbank.org/metadataglossary/world-development-indicators/series/NY.GDP.MKTP.KD.ZG" TargetMode="External"/><Relationship Id="rId21" Type="http://schemas.openxmlformats.org/officeDocument/2006/relationships/hyperlink" Target="https://www.worldbank.org/en/publication/worldwide-governance-indicators" TargetMode="External"/><Relationship Id="rId7" Type="http://schemas.openxmlformats.org/officeDocument/2006/relationships/hyperlink" Target="https://databank.worldbank.org/metadataglossary/world-development-indicators/series/FD.AST.PRVT.GD.ZS" TargetMode="External"/><Relationship Id="rId12" Type="http://schemas.openxmlformats.org/officeDocument/2006/relationships/hyperlink" Target="https://databank.worldbank.org/metadataglossary/world-development-indicators/series/CM.MKT.LCAP.GD.ZS" TargetMode="External"/><Relationship Id="rId17" Type="http://schemas.openxmlformats.org/officeDocument/2006/relationships/hyperlink" Target="https://www.worldbank.org/en/publication/worldwide-governance-indicators" TargetMode="External"/><Relationship Id="rId25" Type="http://schemas.openxmlformats.org/officeDocument/2006/relationships/hyperlink" Target="https://databank.worldbank.org/metadataglossary/world-development-indicators/series/IT.CEL.SETS.P2" TargetMode="External"/><Relationship Id="rId33" Type="http://schemas.openxmlformats.org/officeDocument/2006/relationships/hyperlink" Target="https://databank.worldbank.org/metadataglossary/world-development-indicators/series/CM.MKT.LCAP.GD.ZS" TargetMode="External"/><Relationship Id="rId2" Type="http://schemas.openxmlformats.org/officeDocument/2006/relationships/hyperlink" Target="https://databank.worldbank.org/metadataglossary/world-development-indicators/series/NY.GDP.PCAP.CD" TargetMode="External"/><Relationship Id="rId16" Type="http://schemas.openxmlformats.org/officeDocument/2006/relationships/hyperlink" Target="https://databank.worldbank.org/metadataglossary/global-financial-development/series/GFDD.SI.05" TargetMode="External"/><Relationship Id="rId20" Type="http://schemas.openxmlformats.org/officeDocument/2006/relationships/hyperlink" Target="https://www.worldbank.org/en/publication/worldwide-governance-indicators" TargetMode="External"/><Relationship Id="rId29" Type="http://schemas.openxmlformats.org/officeDocument/2006/relationships/hyperlink" Target="https://www.kaggle.com/datasets/seydakaba/hofstede-cultural-dimensions-by-country?resource=download" TargetMode="External"/><Relationship Id="rId1" Type="http://schemas.openxmlformats.org/officeDocument/2006/relationships/hyperlink" Target="https://databank.worldbank.org/metadataglossary/world-development-indicators/series/NY.GDP.MKTP.CD" TargetMode="External"/><Relationship Id="rId6" Type="http://schemas.openxmlformats.org/officeDocument/2006/relationships/hyperlink" Target="https://databank.worldbank.org/metadataglossary/world-development-indicators/series/SP.URB.TOTL.IN.ZS" TargetMode="External"/><Relationship Id="rId11" Type="http://schemas.openxmlformats.org/officeDocument/2006/relationships/hyperlink" Target="https://databank.worldbank.org/metadataglossary/world-development-indicators/series/FB.AST.NPER.ZS" TargetMode="External"/><Relationship Id="rId24" Type="http://schemas.openxmlformats.org/officeDocument/2006/relationships/hyperlink" Target="https://databank.worldbank.org/metadataglossary/world-development-indicators/series/IT.NET.USER.ZS" TargetMode="External"/><Relationship Id="rId32" Type="http://schemas.openxmlformats.org/officeDocument/2006/relationships/hyperlink" Target="https://www.worldbank.org/en/publication/worldwide-governance-indicators" TargetMode="External"/><Relationship Id="rId5" Type="http://schemas.openxmlformats.org/officeDocument/2006/relationships/hyperlink" Target="https://databank.worldbank.org/metadataglossary/world-development-indicators/series/SP.POP.TOTL" TargetMode="External"/><Relationship Id="rId15" Type="http://schemas.openxmlformats.org/officeDocument/2006/relationships/hyperlink" Target="https://databank.worldbank.org/metadataglossary/global-financial-development/series/GFDD.EI.06" TargetMode="External"/><Relationship Id="rId23" Type="http://schemas.openxmlformats.org/officeDocument/2006/relationships/hyperlink" Target="https://pages.stern.nyu.edu/~adamodar/New_Home_Page/datafile/ctryprem.html" TargetMode="External"/><Relationship Id="rId28" Type="http://schemas.openxmlformats.org/officeDocument/2006/relationships/hyperlink" Target="http://www.cepii.fr/CEPII/en/bdd_modele/bdd_modele_item.asp?id=6" TargetMode="External"/><Relationship Id="rId10" Type="http://schemas.openxmlformats.org/officeDocument/2006/relationships/hyperlink" Target="https://databank.worldbank.org/metadataglossary/world-development-indicators/series/FR.INR.LNDP" TargetMode="External"/><Relationship Id="rId19" Type="http://schemas.openxmlformats.org/officeDocument/2006/relationships/hyperlink" Target="https://www.worldbank.org/en/publication/worldwide-governance-indicators" TargetMode="External"/><Relationship Id="rId31" Type="http://schemas.openxmlformats.org/officeDocument/2006/relationships/hyperlink" Target="https://www.datos.gov.co/resource/efw5-jiej.json?$query=SELECT%20a_o%2C%20mes%2C%20pa_s_destino%2C%20codigo_m49%2C%20femenino%2C%20masculino%2C%20indefinido%2C%20total%2C%20ubicacion_pcm%20SEARCH%20%222025%22" TargetMode="External"/><Relationship Id="rId4" Type="http://schemas.openxmlformats.org/officeDocument/2006/relationships/hyperlink" Target="https://databank.worldbank.org/metadataglossary/world-development-indicators/series/FP.CPI.TOTL.ZG" TargetMode="External"/><Relationship Id="rId9" Type="http://schemas.openxmlformats.org/officeDocument/2006/relationships/hyperlink" Target="https://databank.worldbank.org/metadataglossary/global-financial-development/series/GFDD.OI.06" TargetMode="External"/><Relationship Id="rId14" Type="http://schemas.openxmlformats.org/officeDocument/2006/relationships/hyperlink" Target="https://databank.worldbank.org/metadataglossary/world-development-indicators/series/BX.TRF.PWKR.DT.GD.ZS" TargetMode="External"/><Relationship Id="rId22" Type="http://schemas.openxmlformats.org/officeDocument/2006/relationships/hyperlink" Target="https://economicfreedom.heritage.org/pages/all-country-scores" TargetMode="External"/><Relationship Id="rId27" Type="http://schemas.openxmlformats.org/officeDocument/2006/relationships/hyperlink" Target="http://www.cepii.fr/CEPII/en/bdd_modele/bdd_modele_item.asp?id=6" TargetMode="External"/><Relationship Id="rId30" Type="http://schemas.openxmlformats.org/officeDocument/2006/relationships/hyperlink" Target="https://suameca.banrep.gov.co/estadisticas-economicas-back/reporte-oac.html?path=%2FEstadisticas_Banco_de_la_Republica%2F4_Sector_Externo_tasas_de_cambio_y_derivados%2F2_Sector_Externo%2F6_Inversion_directa%2FIDCE%2F3_Inversion_Directa_de_Colombia_en_el_Exterior_(IDCE)_por_pais_destino&amp;hasTabs=true&amp;idCanva=1" TargetMode="External"/><Relationship Id="rId8" Type="http://schemas.openxmlformats.org/officeDocument/2006/relationships/hyperlink" Target="https://databank.worldbank.org/metadataglossary/world-development-indicators/series/FX.OWN.TOTL.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showGridLines="0" tabSelected="1" zoomScale="96" zoomScaleNormal="96" zoomScaleSheetLayoutView="85" workbookViewId="0">
      <pane ySplit="6" topLeftCell="A40" activePane="bottomLeft" state="frozen"/>
      <selection pane="bottomLeft" activeCell="C39" sqref="C39"/>
    </sheetView>
  </sheetViews>
  <sheetFormatPr baseColWidth="10" defaultColWidth="8.6640625" defaultRowHeight="14.4" x14ac:dyDescent="0.3"/>
  <cols>
    <col min="1" max="1" width="22" customWidth="1"/>
    <col min="2" max="2" width="5" style="34" customWidth="1"/>
    <col min="3" max="3" width="27.5546875" customWidth="1"/>
    <col min="4" max="4" width="62.77734375" style="13" customWidth="1"/>
    <col min="5" max="5" width="28.6640625" customWidth="1"/>
    <col min="6" max="6" width="105" customWidth="1"/>
    <col min="7" max="7" width="13" customWidth="1"/>
    <col min="8" max="8" width="8" style="35" customWidth="1"/>
    <col min="9" max="9" width="44" customWidth="1"/>
    <col min="10" max="10" width="58" customWidth="1"/>
    <col min="11" max="11" width="14" customWidth="1"/>
    <col min="12" max="12" width="38" customWidth="1"/>
    <col min="13" max="13" width="40" customWidth="1"/>
    <col min="14" max="18" width="7" style="35" customWidth="1"/>
  </cols>
  <sheetData>
    <row r="1" spans="1:20" s="51" customFormat="1" ht="21" customHeight="1" x14ac:dyDescent="0.4">
      <c r="A1" s="62" t="s">
        <v>0</v>
      </c>
      <c r="B1" s="63"/>
      <c r="C1" s="63"/>
      <c r="D1" s="64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53"/>
      <c r="Q1" s="53"/>
      <c r="R1" s="53"/>
    </row>
    <row r="2" spans="1:20" s="51" customFormat="1" x14ac:dyDescent="0.3">
      <c r="A2" s="54" t="s">
        <v>1</v>
      </c>
      <c r="D2" s="52"/>
      <c r="H2" s="53"/>
      <c r="N2" s="53"/>
      <c r="O2" s="53"/>
      <c r="P2" s="53"/>
      <c r="Q2" s="53"/>
      <c r="R2" s="53"/>
    </row>
    <row r="3" spans="1:20" x14ac:dyDescent="0.3">
      <c r="A3" s="31" t="s">
        <v>359</v>
      </c>
      <c r="B3"/>
    </row>
    <row r="4" spans="1:20" ht="3" customHeight="1" x14ac:dyDescent="0.3">
      <c r="A4" s="1"/>
      <c r="B4" s="1"/>
      <c r="C4" s="1"/>
      <c r="D4" s="12"/>
      <c r="E4" s="12"/>
      <c r="F4" s="12"/>
      <c r="G4" s="1"/>
      <c r="H4" s="36"/>
      <c r="I4" s="1"/>
      <c r="J4" s="1"/>
      <c r="K4" s="1"/>
      <c r="L4" s="1"/>
      <c r="M4" s="1"/>
      <c r="N4" s="36"/>
      <c r="O4" s="36"/>
      <c r="P4" s="36"/>
      <c r="Q4" s="36"/>
      <c r="R4" s="36"/>
    </row>
    <row r="5" spans="1:20" x14ac:dyDescent="0.3">
      <c r="B5"/>
    </row>
    <row r="6" spans="1:20" ht="42" customHeight="1" x14ac:dyDescent="0.3">
      <c r="A6" s="50" t="s">
        <v>2</v>
      </c>
      <c r="B6" s="50" t="s">
        <v>3</v>
      </c>
      <c r="C6" s="50" t="s">
        <v>4</v>
      </c>
      <c r="D6" s="50" t="s">
        <v>5</v>
      </c>
      <c r="E6" s="50" t="s">
        <v>6</v>
      </c>
      <c r="F6" s="50" t="s">
        <v>7</v>
      </c>
      <c r="G6" s="50" t="s">
        <v>8</v>
      </c>
      <c r="H6" s="50" t="s">
        <v>9</v>
      </c>
      <c r="I6" s="50" t="s">
        <v>10</v>
      </c>
      <c r="J6" s="50" t="s">
        <v>11</v>
      </c>
      <c r="K6" s="50" t="s">
        <v>12</v>
      </c>
      <c r="L6" s="50" t="s">
        <v>13</v>
      </c>
      <c r="M6" s="50" t="s">
        <v>14</v>
      </c>
      <c r="N6" s="50" t="s">
        <v>15</v>
      </c>
      <c r="O6" s="50" t="s">
        <v>16</v>
      </c>
      <c r="P6" s="50" t="s">
        <v>17</v>
      </c>
      <c r="Q6" s="50" t="s">
        <v>18</v>
      </c>
      <c r="R6" s="50" t="s">
        <v>19</v>
      </c>
    </row>
    <row r="7" spans="1:20" ht="99" customHeight="1" x14ac:dyDescent="0.3">
      <c r="A7" s="15" t="s">
        <v>20</v>
      </c>
      <c r="B7" s="32">
        <v>1</v>
      </c>
      <c r="C7" s="2" t="s">
        <v>21</v>
      </c>
      <c r="D7" s="3" t="s">
        <v>22</v>
      </c>
      <c r="E7" s="3" t="s">
        <v>353</v>
      </c>
      <c r="F7" s="3" t="s">
        <v>381</v>
      </c>
      <c r="G7" s="3" t="s">
        <v>23</v>
      </c>
      <c r="H7" s="37" t="s">
        <v>24</v>
      </c>
      <c r="I7" s="3" t="s">
        <v>25</v>
      </c>
      <c r="J7" s="11" t="s">
        <v>26</v>
      </c>
      <c r="K7" s="3" t="s">
        <v>27</v>
      </c>
      <c r="L7" s="3" t="s">
        <v>28</v>
      </c>
      <c r="M7" s="3" t="s">
        <v>29</v>
      </c>
      <c r="N7" s="43" t="s">
        <v>30</v>
      </c>
      <c r="O7" s="43" t="s">
        <v>30</v>
      </c>
      <c r="P7" s="43" t="s">
        <v>31</v>
      </c>
      <c r="Q7" s="43" t="s">
        <v>30</v>
      </c>
      <c r="R7" s="43" t="s">
        <v>30</v>
      </c>
      <c r="T7" t="str">
        <f>_xlfn.TEXTJOIN(", ",TRUE,C7:C18)</f>
        <v>PIB nominal (USD corrientes), PIB per cápita PPA (USD internacionales), Crecimiento real del PIB (% a/a), Inflación IPC (% anual), Población total, Tasa de urbanización (% población urbana), Desempleo total (% fuerza laboral), Cuenta corriente / PIB (%), Deuda pública / PIB (%), Apertura comercial (% PIB), Inversión extranjera directa neta / PIB (%), Tarifa aplicada promedio ponderada (%)</v>
      </c>
    </row>
    <row r="8" spans="1:20" ht="99" customHeight="1" x14ac:dyDescent="0.3">
      <c r="A8" s="15" t="s">
        <v>20</v>
      </c>
      <c r="B8" s="33">
        <v>2</v>
      </c>
      <c r="C8" s="5" t="s">
        <v>32</v>
      </c>
      <c r="D8" s="6" t="s">
        <v>33</v>
      </c>
      <c r="E8" s="6" t="s">
        <v>34</v>
      </c>
      <c r="F8" s="6" t="s">
        <v>362</v>
      </c>
      <c r="G8" s="6" t="s">
        <v>23</v>
      </c>
      <c r="H8" s="38" t="s">
        <v>24</v>
      </c>
      <c r="I8" s="6" t="s">
        <v>35</v>
      </c>
      <c r="J8" s="10" t="s">
        <v>36</v>
      </c>
      <c r="K8" s="6" t="s">
        <v>27</v>
      </c>
      <c r="L8" s="6" t="s">
        <v>37</v>
      </c>
      <c r="M8" s="6" t="s">
        <v>38</v>
      </c>
      <c r="N8" s="43" t="s">
        <v>30</v>
      </c>
      <c r="O8" s="43" t="s">
        <v>30</v>
      </c>
      <c r="P8" s="43" t="s">
        <v>30</v>
      </c>
      <c r="Q8" s="43" t="s">
        <v>30</v>
      </c>
      <c r="R8" s="43" t="s">
        <v>30</v>
      </c>
    </row>
    <row r="9" spans="1:20" ht="99" customHeight="1" x14ac:dyDescent="0.3">
      <c r="A9" s="15" t="s">
        <v>20</v>
      </c>
      <c r="B9" s="32">
        <v>3</v>
      </c>
      <c r="C9" s="2" t="s">
        <v>39</v>
      </c>
      <c r="D9" s="3" t="s">
        <v>40</v>
      </c>
      <c r="E9" s="3" t="s">
        <v>41</v>
      </c>
      <c r="F9" s="3" t="s">
        <v>363</v>
      </c>
      <c r="G9" s="3" t="s">
        <v>23</v>
      </c>
      <c r="H9" s="37" t="s">
        <v>24</v>
      </c>
      <c r="I9" s="3" t="s">
        <v>42</v>
      </c>
      <c r="J9" s="11" t="s">
        <v>43</v>
      </c>
      <c r="K9" s="3" t="s">
        <v>44</v>
      </c>
      <c r="L9" s="3" t="s">
        <v>45</v>
      </c>
      <c r="M9" s="3" t="s">
        <v>46</v>
      </c>
      <c r="N9" s="43" t="s">
        <v>30</v>
      </c>
      <c r="O9" s="43" t="s">
        <v>30</v>
      </c>
      <c r="P9" s="43" t="s">
        <v>30</v>
      </c>
      <c r="Q9" s="43" t="s">
        <v>30</v>
      </c>
      <c r="R9" s="43" t="s">
        <v>30</v>
      </c>
    </row>
    <row r="10" spans="1:20" ht="99" customHeight="1" x14ac:dyDescent="0.3">
      <c r="A10" s="15" t="s">
        <v>20</v>
      </c>
      <c r="B10" s="33">
        <v>4</v>
      </c>
      <c r="C10" s="5" t="s">
        <v>47</v>
      </c>
      <c r="D10" s="6" t="s">
        <v>48</v>
      </c>
      <c r="E10" s="6" t="s">
        <v>49</v>
      </c>
      <c r="F10" s="6" t="s">
        <v>364</v>
      </c>
      <c r="G10" s="6" t="s">
        <v>23</v>
      </c>
      <c r="H10" s="39" t="s">
        <v>50</v>
      </c>
      <c r="I10" s="6" t="s">
        <v>51</v>
      </c>
      <c r="J10" s="16" t="s">
        <v>52</v>
      </c>
      <c r="K10" s="17" t="s">
        <v>53</v>
      </c>
      <c r="L10" s="6" t="s">
        <v>54</v>
      </c>
      <c r="M10" s="6" t="s">
        <v>55</v>
      </c>
      <c r="N10" s="43" t="s">
        <v>30</v>
      </c>
      <c r="O10" s="43" t="s">
        <v>30</v>
      </c>
      <c r="P10" s="43" t="s">
        <v>30</v>
      </c>
      <c r="Q10" s="43" t="s">
        <v>30</v>
      </c>
      <c r="R10" s="43" t="s">
        <v>30</v>
      </c>
    </row>
    <row r="11" spans="1:20" ht="99" customHeight="1" x14ac:dyDescent="0.3">
      <c r="A11" s="15" t="s">
        <v>20</v>
      </c>
      <c r="B11" s="32">
        <v>5</v>
      </c>
      <c r="C11" s="2" t="s">
        <v>56</v>
      </c>
      <c r="D11" s="3" t="s">
        <v>57</v>
      </c>
      <c r="E11" s="3" t="s">
        <v>58</v>
      </c>
      <c r="F11" s="3" t="s">
        <v>59</v>
      </c>
      <c r="G11" s="3" t="s">
        <v>23</v>
      </c>
      <c r="H11" s="37" t="s">
        <v>24</v>
      </c>
      <c r="I11" s="6" t="s">
        <v>60</v>
      </c>
      <c r="J11" s="11" t="s">
        <v>61</v>
      </c>
      <c r="K11" s="3" t="s">
        <v>27</v>
      </c>
      <c r="L11" s="3" t="s">
        <v>62</v>
      </c>
      <c r="M11" s="3" t="s">
        <v>63</v>
      </c>
      <c r="N11" s="43" t="s">
        <v>30</v>
      </c>
      <c r="O11" s="43" t="s">
        <v>30</v>
      </c>
      <c r="P11" s="43" t="s">
        <v>30</v>
      </c>
      <c r="Q11" s="43" t="s">
        <v>30</v>
      </c>
      <c r="R11" s="43" t="s">
        <v>31</v>
      </c>
    </row>
    <row r="12" spans="1:20" ht="99" customHeight="1" x14ac:dyDescent="0.3">
      <c r="A12" s="15" t="s">
        <v>20</v>
      </c>
      <c r="B12" s="33">
        <v>6</v>
      </c>
      <c r="C12" s="2" t="s">
        <v>64</v>
      </c>
      <c r="D12" s="6" t="s">
        <v>65</v>
      </c>
      <c r="E12" s="6" t="s">
        <v>66</v>
      </c>
      <c r="F12" s="6" t="s">
        <v>67</v>
      </c>
      <c r="G12" s="6" t="s">
        <v>23</v>
      </c>
      <c r="H12" s="38" t="s">
        <v>24</v>
      </c>
      <c r="I12" s="6" t="s">
        <v>68</v>
      </c>
      <c r="J12" s="10" t="s">
        <v>69</v>
      </c>
      <c r="K12" s="6" t="s">
        <v>27</v>
      </c>
      <c r="L12" s="6" t="s">
        <v>70</v>
      </c>
      <c r="M12" s="6" t="s">
        <v>71</v>
      </c>
      <c r="N12" s="43" t="s">
        <v>30</v>
      </c>
      <c r="O12" s="43" t="s">
        <v>30</v>
      </c>
      <c r="P12" s="43" t="s">
        <v>31</v>
      </c>
      <c r="Q12" s="43" t="s">
        <v>30</v>
      </c>
      <c r="R12" s="43" t="s">
        <v>31</v>
      </c>
    </row>
    <row r="13" spans="1:20" ht="99" customHeight="1" x14ac:dyDescent="0.3">
      <c r="A13" s="15" t="s">
        <v>20</v>
      </c>
      <c r="B13" s="32">
        <v>7</v>
      </c>
      <c r="C13" s="2" t="s">
        <v>72</v>
      </c>
      <c r="D13" s="3" t="s">
        <v>73</v>
      </c>
      <c r="E13" s="3" t="s">
        <v>74</v>
      </c>
      <c r="F13" s="3" t="s">
        <v>365</v>
      </c>
      <c r="G13" s="3" t="s">
        <v>23</v>
      </c>
      <c r="H13" s="37" t="s">
        <v>50</v>
      </c>
      <c r="I13" s="6" t="s">
        <v>75</v>
      </c>
      <c r="J13" s="11" t="s">
        <v>76</v>
      </c>
      <c r="K13" s="3" t="s">
        <v>27</v>
      </c>
      <c r="L13" s="3" t="s">
        <v>77</v>
      </c>
      <c r="M13" s="3" t="s">
        <v>78</v>
      </c>
      <c r="N13" s="44" t="s">
        <v>30</v>
      </c>
      <c r="O13" s="44" t="s">
        <v>31</v>
      </c>
      <c r="P13" s="44" t="s">
        <v>31</v>
      </c>
      <c r="Q13" s="44" t="s">
        <v>30</v>
      </c>
      <c r="R13" s="44" t="s">
        <v>30</v>
      </c>
    </row>
    <row r="14" spans="1:20" ht="99" customHeight="1" x14ac:dyDescent="0.3">
      <c r="A14" s="15" t="s">
        <v>20</v>
      </c>
      <c r="B14" s="32">
        <v>8</v>
      </c>
      <c r="C14" s="2" t="s">
        <v>79</v>
      </c>
      <c r="D14" s="3" t="s">
        <v>80</v>
      </c>
      <c r="E14" s="3" t="s">
        <v>81</v>
      </c>
      <c r="F14" s="3" t="s">
        <v>366</v>
      </c>
      <c r="G14" s="3" t="s">
        <v>23</v>
      </c>
      <c r="H14" s="37" t="s">
        <v>82</v>
      </c>
      <c r="I14" s="6" t="s">
        <v>83</v>
      </c>
      <c r="J14" s="11" t="s">
        <v>84</v>
      </c>
      <c r="K14" s="3" t="s">
        <v>27</v>
      </c>
      <c r="L14" s="3" t="s">
        <v>85</v>
      </c>
      <c r="M14" s="3" t="s">
        <v>86</v>
      </c>
      <c r="N14" s="44" t="s">
        <v>31</v>
      </c>
      <c r="O14" s="44" t="s">
        <v>31</v>
      </c>
      <c r="P14" s="44" t="s">
        <v>31</v>
      </c>
      <c r="Q14" s="44" t="s">
        <v>31</v>
      </c>
      <c r="R14" s="44" t="s">
        <v>30</v>
      </c>
    </row>
    <row r="15" spans="1:20" ht="99" customHeight="1" x14ac:dyDescent="0.3">
      <c r="A15" s="15" t="s">
        <v>20</v>
      </c>
      <c r="B15" s="32">
        <v>9</v>
      </c>
      <c r="C15" s="2" t="s">
        <v>87</v>
      </c>
      <c r="D15" s="3" t="s">
        <v>88</v>
      </c>
      <c r="E15" s="3" t="s">
        <v>89</v>
      </c>
      <c r="F15" s="3" t="s">
        <v>367</v>
      </c>
      <c r="G15" s="3" t="s">
        <v>23</v>
      </c>
      <c r="H15" s="37" t="s">
        <v>50</v>
      </c>
      <c r="I15" s="6" t="s">
        <v>90</v>
      </c>
      <c r="J15" s="11" t="s">
        <v>91</v>
      </c>
      <c r="K15" s="3" t="s">
        <v>27</v>
      </c>
      <c r="L15" s="3" t="s">
        <v>92</v>
      </c>
      <c r="M15" s="3" t="s">
        <v>93</v>
      </c>
      <c r="N15" s="44" t="s">
        <v>30</v>
      </c>
      <c r="O15" s="44" t="s">
        <v>31</v>
      </c>
      <c r="P15" s="44" t="s">
        <v>31</v>
      </c>
      <c r="Q15" s="44" t="s">
        <v>30</v>
      </c>
      <c r="R15" s="44" t="s">
        <v>30</v>
      </c>
    </row>
    <row r="16" spans="1:20" ht="99" customHeight="1" x14ac:dyDescent="0.3">
      <c r="A16" s="15" t="s">
        <v>20</v>
      </c>
      <c r="B16" s="32">
        <v>10</v>
      </c>
      <c r="C16" s="2" t="s">
        <v>94</v>
      </c>
      <c r="D16" s="3" t="s">
        <v>95</v>
      </c>
      <c r="E16" s="3" t="s">
        <v>96</v>
      </c>
      <c r="F16" s="3" t="s">
        <v>368</v>
      </c>
      <c r="G16" s="3" t="s">
        <v>23</v>
      </c>
      <c r="H16" s="37" t="s">
        <v>24</v>
      </c>
      <c r="I16" s="6" t="s">
        <v>97</v>
      </c>
      <c r="J16" s="11" t="s">
        <v>98</v>
      </c>
      <c r="K16" s="3" t="s">
        <v>27</v>
      </c>
      <c r="L16" s="3" t="s">
        <v>99</v>
      </c>
      <c r="M16" s="3" t="s">
        <v>100</v>
      </c>
      <c r="N16" s="44" t="s">
        <v>31</v>
      </c>
      <c r="O16" s="44" t="s">
        <v>30</v>
      </c>
      <c r="P16" s="44" t="s">
        <v>31</v>
      </c>
      <c r="Q16" s="44" t="s">
        <v>31</v>
      </c>
      <c r="R16" s="44" t="s">
        <v>30</v>
      </c>
    </row>
    <row r="17" spans="1:20" ht="99" customHeight="1" x14ac:dyDescent="0.3">
      <c r="A17" s="15" t="s">
        <v>20</v>
      </c>
      <c r="B17" s="32">
        <v>11</v>
      </c>
      <c r="C17" s="2" t="s">
        <v>101</v>
      </c>
      <c r="D17" s="3" t="s">
        <v>102</v>
      </c>
      <c r="E17" s="3" t="s">
        <v>103</v>
      </c>
      <c r="F17" s="3" t="s">
        <v>369</v>
      </c>
      <c r="G17" s="3" t="s">
        <v>23</v>
      </c>
      <c r="H17" s="37" t="s">
        <v>24</v>
      </c>
      <c r="I17" s="6" t="s">
        <v>104</v>
      </c>
      <c r="J17" s="11" t="s">
        <v>105</v>
      </c>
      <c r="K17" s="3" t="s">
        <v>27</v>
      </c>
      <c r="L17" s="3" t="s">
        <v>106</v>
      </c>
      <c r="M17" s="3" t="s">
        <v>107</v>
      </c>
      <c r="N17" s="44" t="s">
        <v>31</v>
      </c>
      <c r="O17" s="44" t="s">
        <v>31</v>
      </c>
      <c r="P17" s="44" t="s">
        <v>31</v>
      </c>
      <c r="Q17" s="44" t="s">
        <v>31</v>
      </c>
      <c r="R17" s="44" t="s">
        <v>30</v>
      </c>
    </row>
    <row r="18" spans="1:20" ht="99" customHeight="1" x14ac:dyDescent="0.3">
      <c r="A18" s="15" t="s">
        <v>20</v>
      </c>
      <c r="B18" s="32">
        <v>12</v>
      </c>
      <c r="C18" s="2" t="s">
        <v>108</v>
      </c>
      <c r="D18" s="3" t="s">
        <v>109</v>
      </c>
      <c r="E18" s="3" t="s">
        <v>110</v>
      </c>
      <c r="F18" s="3" t="s">
        <v>370</v>
      </c>
      <c r="G18" s="3" t="s">
        <v>23</v>
      </c>
      <c r="H18" s="37" t="s">
        <v>50</v>
      </c>
      <c r="I18" s="6" t="s">
        <v>111</v>
      </c>
      <c r="J18" s="11" t="s">
        <v>112</v>
      </c>
      <c r="K18" s="3" t="s">
        <v>27</v>
      </c>
      <c r="L18" s="3" t="s">
        <v>113</v>
      </c>
      <c r="M18" s="3" t="s">
        <v>114</v>
      </c>
      <c r="N18" s="44" t="s">
        <v>31</v>
      </c>
      <c r="O18" s="44" t="s">
        <v>30</v>
      </c>
      <c r="P18" s="44" t="s">
        <v>31</v>
      </c>
      <c r="Q18" s="44" t="s">
        <v>31</v>
      </c>
      <c r="R18" s="44" t="s">
        <v>30</v>
      </c>
    </row>
    <row r="19" spans="1:20" ht="99" customHeight="1" x14ac:dyDescent="0.3">
      <c r="A19" s="18" t="s">
        <v>115</v>
      </c>
      <c r="B19" s="32">
        <v>13</v>
      </c>
      <c r="C19" s="2" t="s">
        <v>116</v>
      </c>
      <c r="D19" s="3" t="s">
        <v>117</v>
      </c>
      <c r="E19" s="3" t="s">
        <v>118</v>
      </c>
      <c r="F19" s="3" t="s">
        <v>371</v>
      </c>
      <c r="G19" s="3" t="s">
        <v>23</v>
      </c>
      <c r="H19" s="40" t="s">
        <v>82</v>
      </c>
      <c r="I19" s="3" t="s">
        <v>119</v>
      </c>
      <c r="J19" s="11" t="s">
        <v>120</v>
      </c>
      <c r="K19" s="3" t="s">
        <v>27</v>
      </c>
      <c r="L19" s="3" t="s">
        <v>121</v>
      </c>
      <c r="M19" s="3" t="s">
        <v>122</v>
      </c>
      <c r="N19" s="43" t="s">
        <v>30</v>
      </c>
      <c r="O19" s="43" t="s">
        <v>31</v>
      </c>
      <c r="P19" s="43" t="s">
        <v>31</v>
      </c>
      <c r="Q19" s="43" t="s">
        <v>31</v>
      </c>
      <c r="R19" s="43" t="s">
        <v>30</v>
      </c>
      <c r="T19" t="str">
        <f>_xlfn.TEXTJOIN(", ",TRUE,C19:C28)</f>
        <v>Crédito privado / PIB (%), Adultos con cuenta bancaria (%), Concentración bancaria (%), Margen de intermendiación , Índice de cartera vencida (%), Capitalización bursátil domestica / PIB (%), Depósitos / PIB (%), Remesas recibidas / PIB (%), ROE del sector bancario (%), Capital regulatorio / activos ponderados por riesgo (%)</v>
      </c>
    </row>
    <row r="20" spans="1:20" ht="99" customHeight="1" x14ac:dyDescent="0.3">
      <c r="A20" s="18" t="s">
        <v>115</v>
      </c>
      <c r="B20" s="33">
        <v>14</v>
      </c>
      <c r="C20" s="5" t="s">
        <v>123</v>
      </c>
      <c r="D20" s="6" t="s">
        <v>124</v>
      </c>
      <c r="E20" s="6" t="s">
        <v>125</v>
      </c>
      <c r="F20" s="6" t="s">
        <v>126</v>
      </c>
      <c r="G20" s="6" t="s">
        <v>23</v>
      </c>
      <c r="H20" s="41" t="s">
        <v>82</v>
      </c>
      <c r="I20" s="6" t="s">
        <v>127</v>
      </c>
      <c r="J20" s="10" t="s">
        <v>128</v>
      </c>
      <c r="K20" s="6" t="s">
        <v>129</v>
      </c>
      <c r="L20" s="6" t="s">
        <v>130</v>
      </c>
      <c r="M20" s="6" t="s">
        <v>71</v>
      </c>
      <c r="N20" s="43" t="s">
        <v>30</v>
      </c>
      <c r="O20" s="43" t="s">
        <v>30</v>
      </c>
      <c r="P20" s="43" t="s">
        <v>31</v>
      </c>
      <c r="Q20" s="43" t="s">
        <v>30</v>
      </c>
      <c r="R20" s="43" t="s">
        <v>31</v>
      </c>
    </row>
    <row r="21" spans="1:20" ht="99" customHeight="1" x14ac:dyDescent="0.3">
      <c r="A21" s="18" t="s">
        <v>115</v>
      </c>
      <c r="B21" s="32">
        <v>15</v>
      </c>
      <c r="C21" s="2" t="s">
        <v>131</v>
      </c>
      <c r="D21" s="3" t="s">
        <v>132</v>
      </c>
      <c r="E21" s="3" t="s">
        <v>133</v>
      </c>
      <c r="F21" s="3" t="s">
        <v>372</v>
      </c>
      <c r="G21" s="3" t="s">
        <v>23</v>
      </c>
      <c r="H21" s="42" t="s">
        <v>50</v>
      </c>
      <c r="I21" s="6" t="s">
        <v>134</v>
      </c>
      <c r="J21" s="11" t="s">
        <v>135</v>
      </c>
      <c r="K21" s="3" t="s">
        <v>27</v>
      </c>
      <c r="L21" s="3" t="s">
        <v>136</v>
      </c>
      <c r="M21" s="3" t="s">
        <v>137</v>
      </c>
      <c r="N21" s="43" t="s">
        <v>30</v>
      </c>
      <c r="O21" s="43" t="s">
        <v>30</v>
      </c>
      <c r="P21" s="43" t="s">
        <v>31</v>
      </c>
      <c r="Q21" s="43" t="s">
        <v>30</v>
      </c>
      <c r="R21" s="43" t="s">
        <v>30</v>
      </c>
    </row>
    <row r="22" spans="1:20" ht="99" customHeight="1" x14ac:dyDescent="0.3">
      <c r="A22" s="18" t="s">
        <v>115</v>
      </c>
      <c r="B22" s="33">
        <v>16</v>
      </c>
      <c r="C22" s="5" t="s">
        <v>138</v>
      </c>
      <c r="D22" s="6" t="s">
        <v>139</v>
      </c>
      <c r="E22" s="6" t="s">
        <v>140</v>
      </c>
      <c r="F22" s="6" t="s">
        <v>373</v>
      </c>
      <c r="G22" s="6" t="s">
        <v>23</v>
      </c>
      <c r="H22" s="38" t="s">
        <v>24</v>
      </c>
      <c r="I22" s="6" t="s">
        <v>141</v>
      </c>
      <c r="J22" s="10" t="s">
        <v>142</v>
      </c>
      <c r="K22" s="6" t="s">
        <v>27</v>
      </c>
      <c r="L22" s="6" t="s">
        <v>143</v>
      </c>
      <c r="M22" s="6" t="s">
        <v>144</v>
      </c>
      <c r="N22" s="43" t="s">
        <v>30</v>
      </c>
      <c r="O22" s="43" t="s">
        <v>31</v>
      </c>
      <c r="P22" s="43" t="s">
        <v>31</v>
      </c>
      <c r="Q22" s="43" t="s">
        <v>30</v>
      </c>
      <c r="R22" s="43" t="s">
        <v>30</v>
      </c>
    </row>
    <row r="23" spans="1:20" ht="99" customHeight="1" x14ac:dyDescent="0.3">
      <c r="A23" s="18" t="s">
        <v>115</v>
      </c>
      <c r="B23" s="32">
        <v>17</v>
      </c>
      <c r="C23" s="2" t="s">
        <v>145</v>
      </c>
      <c r="D23" s="3" t="s">
        <v>146</v>
      </c>
      <c r="E23" s="3" t="s">
        <v>147</v>
      </c>
      <c r="F23" s="3" t="s">
        <v>373</v>
      </c>
      <c r="G23" s="3" t="s">
        <v>23</v>
      </c>
      <c r="H23" s="42" t="s">
        <v>50</v>
      </c>
      <c r="I23" s="6" t="s">
        <v>148</v>
      </c>
      <c r="J23" s="11" t="s">
        <v>149</v>
      </c>
      <c r="K23" s="3" t="s">
        <v>150</v>
      </c>
      <c r="L23" s="3" t="s">
        <v>151</v>
      </c>
      <c r="M23" s="3" t="s">
        <v>152</v>
      </c>
      <c r="N23" s="43" t="s">
        <v>30</v>
      </c>
      <c r="O23" s="43" t="s">
        <v>31</v>
      </c>
      <c r="P23" s="43" t="s">
        <v>31</v>
      </c>
      <c r="Q23" s="43" t="s">
        <v>30</v>
      </c>
      <c r="R23" s="43" t="s">
        <v>30</v>
      </c>
    </row>
    <row r="24" spans="1:20" ht="99" customHeight="1" x14ac:dyDescent="0.3">
      <c r="A24" s="18" t="s">
        <v>115</v>
      </c>
      <c r="B24" s="33">
        <v>18</v>
      </c>
      <c r="C24" s="5" t="s">
        <v>153</v>
      </c>
      <c r="D24" s="6" t="s">
        <v>154</v>
      </c>
      <c r="E24" s="6" t="s">
        <v>155</v>
      </c>
      <c r="F24" s="6" t="s">
        <v>374</v>
      </c>
      <c r="G24" s="6" t="s">
        <v>23</v>
      </c>
      <c r="H24" s="38" t="s">
        <v>24</v>
      </c>
      <c r="I24" s="6" t="s">
        <v>156</v>
      </c>
      <c r="J24" s="49" t="s">
        <v>157</v>
      </c>
      <c r="K24" s="6" t="s">
        <v>27</v>
      </c>
      <c r="L24" s="6" t="s">
        <v>158</v>
      </c>
      <c r="M24" s="6" t="s">
        <v>159</v>
      </c>
      <c r="N24" s="45" t="s">
        <v>31</v>
      </c>
      <c r="O24" s="45" t="s">
        <v>31</v>
      </c>
      <c r="P24" s="45" t="s">
        <v>30</v>
      </c>
      <c r="Q24" s="45" t="s">
        <v>31</v>
      </c>
      <c r="R24" s="45" t="s">
        <v>30</v>
      </c>
    </row>
    <row r="25" spans="1:20" ht="99" customHeight="1" x14ac:dyDescent="0.3">
      <c r="A25" s="18" t="s">
        <v>115</v>
      </c>
      <c r="B25" s="32">
        <v>19</v>
      </c>
      <c r="C25" s="2" t="s">
        <v>160</v>
      </c>
      <c r="D25" s="3" t="s">
        <v>161</v>
      </c>
      <c r="E25" s="3" t="s">
        <v>162</v>
      </c>
      <c r="F25" s="3" t="s">
        <v>163</v>
      </c>
      <c r="G25" s="3" t="s">
        <v>23</v>
      </c>
      <c r="H25" s="37" t="s">
        <v>24</v>
      </c>
      <c r="I25" s="3" t="s">
        <v>164</v>
      </c>
      <c r="J25" s="11" t="s">
        <v>165</v>
      </c>
      <c r="K25" s="3" t="s">
        <v>27</v>
      </c>
      <c r="L25" s="3" t="s">
        <v>166</v>
      </c>
      <c r="M25" s="3" t="s">
        <v>167</v>
      </c>
      <c r="N25" s="43" t="s">
        <v>30</v>
      </c>
      <c r="O25" s="43" t="s">
        <v>30</v>
      </c>
      <c r="P25" s="43" t="s">
        <v>31</v>
      </c>
      <c r="Q25" s="43" t="s">
        <v>30</v>
      </c>
      <c r="R25" s="43" t="s">
        <v>31</v>
      </c>
    </row>
    <row r="26" spans="1:20" ht="99" customHeight="1" x14ac:dyDescent="0.3">
      <c r="A26" s="18" t="s">
        <v>115</v>
      </c>
      <c r="B26" s="33">
        <v>20</v>
      </c>
      <c r="C26" s="5" t="s">
        <v>168</v>
      </c>
      <c r="D26" s="6" t="s">
        <v>169</v>
      </c>
      <c r="E26" s="6" t="s">
        <v>170</v>
      </c>
      <c r="F26" s="6" t="s">
        <v>171</v>
      </c>
      <c r="G26" s="6" t="s">
        <v>23</v>
      </c>
      <c r="H26" s="38" t="s">
        <v>24</v>
      </c>
      <c r="I26" s="6" t="s">
        <v>172</v>
      </c>
      <c r="J26" s="10" t="s">
        <v>173</v>
      </c>
      <c r="K26" s="6" t="s">
        <v>27</v>
      </c>
      <c r="L26" s="6"/>
      <c r="M26" s="6" t="s">
        <v>174</v>
      </c>
      <c r="N26" s="45" t="s">
        <v>31</v>
      </c>
      <c r="O26" s="45" t="s">
        <v>30</v>
      </c>
      <c r="P26" s="45" t="s">
        <v>30</v>
      </c>
      <c r="Q26" s="45" t="s">
        <v>30</v>
      </c>
      <c r="R26" s="45" t="s">
        <v>31</v>
      </c>
    </row>
    <row r="27" spans="1:20" ht="99" customHeight="1" x14ac:dyDescent="0.3">
      <c r="A27" s="18" t="s">
        <v>115</v>
      </c>
      <c r="B27" s="32">
        <v>21</v>
      </c>
      <c r="C27" s="2" t="s">
        <v>175</v>
      </c>
      <c r="D27" s="3" t="s">
        <v>176</v>
      </c>
      <c r="E27" s="3" t="s">
        <v>177</v>
      </c>
      <c r="F27" s="3" t="s">
        <v>373</v>
      </c>
      <c r="G27" s="3" t="s">
        <v>23</v>
      </c>
      <c r="H27" s="37" t="s">
        <v>24</v>
      </c>
      <c r="I27" s="3" t="s">
        <v>178</v>
      </c>
      <c r="J27" s="11" t="s">
        <v>179</v>
      </c>
      <c r="K27" s="3" t="s">
        <v>150</v>
      </c>
      <c r="L27" s="3" t="s">
        <v>180</v>
      </c>
      <c r="M27" s="3" t="s">
        <v>137</v>
      </c>
      <c r="N27" s="43" t="s">
        <v>30</v>
      </c>
      <c r="O27" s="43" t="s">
        <v>31</v>
      </c>
      <c r="P27" s="43" t="s">
        <v>31</v>
      </c>
      <c r="Q27" s="43" t="s">
        <v>30</v>
      </c>
      <c r="R27" s="43" t="s">
        <v>30</v>
      </c>
    </row>
    <row r="28" spans="1:20" ht="99" customHeight="1" x14ac:dyDescent="0.3">
      <c r="A28" s="18" t="s">
        <v>115</v>
      </c>
      <c r="B28" s="33">
        <v>22</v>
      </c>
      <c r="C28" s="5" t="s">
        <v>181</v>
      </c>
      <c r="D28" s="6" t="s">
        <v>182</v>
      </c>
      <c r="E28" s="6" t="s">
        <v>183</v>
      </c>
      <c r="F28" s="6" t="s">
        <v>373</v>
      </c>
      <c r="G28" s="6" t="s">
        <v>23</v>
      </c>
      <c r="H28" s="38" t="s">
        <v>24</v>
      </c>
      <c r="I28" s="3" t="s">
        <v>184</v>
      </c>
      <c r="J28" s="10" t="s">
        <v>185</v>
      </c>
      <c r="K28" s="6" t="s">
        <v>150</v>
      </c>
      <c r="L28" s="19" t="s">
        <v>186</v>
      </c>
      <c r="M28" s="6" t="s">
        <v>187</v>
      </c>
      <c r="N28" s="43" t="s">
        <v>30</v>
      </c>
      <c r="O28" s="43" t="s">
        <v>31</v>
      </c>
      <c r="P28" s="43" t="s">
        <v>31</v>
      </c>
      <c r="Q28" s="43" t="s">
        <v>30</v>
      </c>
      <c r="R28" s="43" t="s">
        <v>30</v>
      </c>
    </row>
    <row r="29" spans="1:20" ht="99" customHeight="1" x14ac:dyDescent="0.3">
      <c r="A29" s="20" t="s">
        <v>188</v>
      </c>
      <c r="B29" s="32">
        <v>23</v>
      </c>
      <c r="C29" s="2" t="s">
        <v>189</v>
      </c>
      <c r="D29" s="3" t="s">
        <v>190</v>
      </c>
      <c r="E29" s="3" t="s">
        <v>191</v>
      </c>
      <c r="F29" s="3" t="s">
        <v>375</v>
      </c>
      <c r="G29" s="3" t="s">
        <v>23</v>
      </c>
      <c r="H29" s="37" t="s">
        <v>24</v>
      </c>
      <c r="I29" s="3" t="s">
        <v>192</v>
      </c>
      <c r="J29" s="49" t="s">
        <v>193</v>
      </c>
      <c r="K29" s="3" t="s">
        <v>27</v>
      </c>
      <c r="L29" s="3" t="s">
        <v>194</v>
      </c>
      <c r="M29" s="3" t="s">
        <v>195</v>
      </c>
      <c r="N29" s="43" t="s">
        <v>30</v>
      </c>
      <c r="O29" s="43" t="s">
        <v>30</v>
      </c>
      <c r="P29" s="43" t="s">
        <v>30</v>
      </c>
      <c r="Q29" s="43" t="s">
        <v>30</v>
      </c>
      <c r="R29" s="43" t="s">
        <v>30</v>
      </c>
      <c r="T29" t="str">
        <f>_xlfn.TEXTJOIN(", ",TRUE,C29:C35)</f>
        <v>Calidad regulatoria (0-100), Efectividad del gobierno  (0-100), Estado de derecho  (0-100), Control de la corrupción  (0-100), Estabilidad política  (0-100), Índice de libertad económica (0–100), Prima de Riesgo País</v>
      </c>
    </row>
    <row r="30" spans="1:20" ht="99" customHeight="1" x14ac:dyDescent="0.3">
      <c r="A30" s="20" t="s">
        <v>188</v>
      </c>
      <c r="B30" s="33">
        <v>24</v>
      </c>
      <c r="C30" s="5" t="s">
        <v>196</v>
      </c>
      <c r="D30" s="6" t="s">
        <v>197</v>
      </c>
      <c r="E30" s="6" t="s">
        <v>198</v>
      </c>
      <c r="F30" s="6" t="s">
        <v>376</v>
      </c>
      <c r="G30" s="6" t="s">
        <v>23</v>
      </c>
      <c r="H30" s="38" t="s">
        <v>24</v>
      </c>
      <c r="I30" s="6" t="s">
        <v>199</v>
      </c>
      <c r="J30" s="7" t="s">
        <v>193</v>
      </c>
      <c r="K30" s="6" t="s">
        <v>27</v>
      </c>
      <c r="L30" s="6" t="s">
        <v>200</v>
      </c>
      <c r="M30" s="6" t="s">
        <v>201</v>
      </c>
      <c r="N30" s="43" t="s">
        <v>30</v>
      </c>
      <c r="O30" s="43" t="s">
        <v>30</v>
      </c>
      <c r="P30" s="43" t="s">
        <v>30</v>
      </c>
      <c r="Q30" s="43" t="s">
        <v>30</v>
      </c>
      <c r="R30" s="43" t="s">
        <v>30</v>
      </c>
    </row>
    <row r="31" spans="1:20" ht="99" customHeight="1" x14ac:dyDescent="0.3">
      <c r="A31" s="20" t="s">
        <v>188</v>
      </c>
      <c r="B31" s="32">
        <v>25</v>
      </c>
      <c r="C31" s="2" t="s">
        <v>202</v>
      </c>
      <c r="D31" s="3" t="s">
        <v>203</v>
      </c>
      <c r="E31" s="3" t="s">
        <v>204</v>
      </c>
      <c r="F31" s="3" t="s">
        <v>376</v>
      </c>
      <c r="G31" s="3" t="s">
        <v>23</v>
      </c>
      <c r="H31" s="37" t="s">
        <v>24</v>
      </c>
      <c r="I31" s="3" t="s">
        <v>199</v>
      </c>
      <c r="J31" s="4" t="s">
        <v>193</v>
      </c>
      <c r="K31" s="3" t="s">
        <v>27</v>
      </c>
      <c r="L31" s="3" t="s">
        <v>205</v>
      </c>
      <c r="M31" s="3" t="s">
        <v>206</v>
      </c>
      <c r="N31" s="43" t="s">
        <v>30</v>
      </c>
      <c r="O31" s="43" t="s">
        <v>30</v>
      </c>
      <c r="P31" s="43" t="s">
        <v>30</v>
      </c>
      <c r="Q31" s="43" t="s">
        <v>30</v>
      </c>
      <c r="R31" s="43" t="s">
        <v>30</v>
      </c>
    </row>
    <row r="32" spans="1:20" ht="99" customHeight="1" x14ac:dyDescent="0.3">
      <c r="A32" s="20" t="s">
        <v>188</v>
      </c>
      <c r="B32" s="33">
        <v>26</v>
      </c>
      <c r="C32" s="5" t="s">
        <v>207</v>
      </c>
      <c r="D32" s="6" t="s">
        <v>208</v>
      </c>
      <c r="E32" s="6" t="s">
        <v>209</v>
      </c>
      <c r="F32" s="6" t="s">
        <v>376</v>
      </c>
      <c r="G32" s="6" t="s">
        <v>23</v>
      </c>
      <c r="H32" s="38" t="s">
        <v>24</v>
      </c>
      <c r="I32" s="6" t="s">
        <v>199</v>
      </c>
      <c r="J32" s="7" t="s">
        <v>193</v>
      </c>
      <c r="K32" s="6" t="s">
        <v>27</v>
      </c>
      <c r="L32" s="6" t="s">
        <v>210</v>
      </c>
      <c r="M32" s="6" t="s">
        <v>211</v>
      </c>
      <c r="N32" s="43" t="s">
        <v>30</v>
      </c>
      <c r="O32" s="43" t="s">
        <v>30</v>
      </c>
      <c r="P32" s="43" t="s">
        <v>30</v>
      </c>
      <c r="Q32" s="43" t="s">
        <v>30</v>
      </c>
      <c r="R32" s="43" t="s">
        <v>30</v>
      </c>
    </row>
    <row r="33" spans="1:20" ht="99" customHeight="1" x14ac:dyDescent="0.3">
      <c r="A33" s="20" t="s">
        <v>188</v>
      </c>
      <c r="B33" s="32">
        <v>27</v>
      </c>
      <c r="C33" s="2" t="s">
        <v>212</v>
      </c>
      <c r="D33" s="3" t="s">
        <v>213</v>
      </c>
      <c r="E33" s="3" t="s">
        <v>214</v>
      </c>
      <c r="F33" s="3" t="s">
        <v>376</v>
      </c>
      <c r="G33" s="3" t="s">
        <v>23</v>
      </c>
      <c r="H33" s="37" t="s">
        <v>24</v>
      </c>
      <c r="I33" s="3" t="s">
        <v>199</v>
      </c>
      <c r="J33" s="4" t="s">
        <v>193</v>
      </c>
      <c r="K33" s="3" t="s">
        <v>27</v>
      </c>
      <c r="L33" s="3" t="s">
        <v>215</v>
      </c>
      <c r="M33" s="3" t="s">
        <v>216</v>
      </c>
      <c r="N33" s="43" t="s">
        <v>30</v>
      </c>
      <c r="O33" s="43" t="s">
        <v>30</v>
      </c>
      <c r="P33" s="43" t="s">
        <v>30</v>
      </c>
      <c r="Q33" s="43" t="s">
        <v>30</v>
      </c>
      <c r="R33" s="43" t="s">
        <v>30</v>
      </c>
    </row>
    <row r="34" spans="1:20" ht="99" customHeight="1" x14ac:dyDescent="0.3">
      <c r="A34" s="20" t="s">
        <v>188</v>
      </c>
      <c r="B34" s="33">
        <v>28</v>
      </c>
      <c r="C34" s="5" t="s">
        <v>217</v>
      </c>
      <c r="D34" s="6" t="s">
        <v>218</v>
      </c>
      <c r="E34" s="6" t="s">
        <v>219</v>
      </c>
      <c r="F34" s="6" t="s">
        <v>376</v>
      </c>
      <c r="G34" s="6" t="s">
        <v>23</v>
      </c>
      <c r="H34" s="38" t="s">
        <v>24</v>
      </c>
      <c r="I34" s="6" t="s">
        <v>220</v>
      </c>
      <c r="J34" s="10" t="s">
        <v>221</v>
      </c>
      <c r="K34" s="6" t="s">
        <v>27</v>
      </c>
      <c r="L34" s="6" t="s">
        <v>222</v>
      </c>
      <c r="M34" s="6" t="s">
        <v>223</v>
      </c>
      <c r="N34" s="43" t="s">
        <v>30</v>
      </c>
      <c r="O34" s="43" t="s">
        <v>30</v>
      </c>
      <c r="P34" s="43" t="s">
        <v>30</v>
      </c>
      <c r="Q34" s="43" t="s">
        <v>30</v>
      </c>
      <c r="R34" s="43" t="s">
        <v>30</v>
      </c>
    </row>
    <row r="35" spans="1:20" ht="99" customHeight="1" x14ac:dyDescent="0.3">
      <c r="A35" s="20" t="s">
        <v>188</v>
      </c>
      <c r="B35" s="33">
        <v>29</v>
      </c>
      <c r="C35" s="5" t="s">
        <v>224</v>
      </c>
      <c r="D35" s="6" t="s">
        <v>225</v>
      </c>
      <c r="E35" s="6" t="s">
        <v>226</v>
      </c>
      <c r="F35" s="6" t="s">
        <v>377</v>
      </c>
      <c r="G35" s="6" t="s">
        <v>23</v>
      </c>
      <c r="H35" s="39" t="s">
        <v>50</v>
      </c>
      <c r="I35" s="6" t="s">
        <v>227</v>
      </c>
      <c r="J35" s="16" t="s">
        <v>228</v>
      </c>
      <c r="K35" s="6" t="s">
        <v>27</v>
      </c>
      <c r="L35" s="6" t="s">
        <v>229</v>
      </c>
      <c r="M35" s="6" t="s">
        <v>230</v>
      </c>
      <c r="N35" s="43" t="s">
        <v>30</v>
      </c>
      <c r="O35" s="43" t="s">
        <v>31</v>
      </c>
      <c r="P35" s="43" t="s">
        <v>31</v>
      </c>
      <c r="Q35" s="43" t="s">
        <v>30</v>
      </c>
      <c r="R35" s="43" t="s">
        <v>30</v>
      </c>
    </row>
    <row r="36" spans="1:20" ht="99" customHeight="1" x14ac:dyDescent="0.3">
      <c r="A36" s="21" t="s">
        <v>231</v>
      </c>
      <c r="B36" s="33">
        <v>30</v>
      </c>
      <c r="C36" s="5" t="s">
        <v>232</v>
      </c>
      <c r="D36" s="6" t="s">
        <v>233</v>
      </c>
      <c r="E36" s="6" t="s">
        <v>234</v>
      </c>
      <c r="F36" s="6" t="s">
        <v>235</v>
      </c>
      <c r="G36" s="6" t="s">
        <v>23</v>
      </c>
      <c r="H36" s="38" t="s">
        <v>24</v>
      </c>
      <c r="I36" s="6" t="s">
        <v>236</v>
      </c>
      <c r="J36" s="10" t="s">
        <v>237</v>
      </c>
      <c r="K36" s="6" t="s">
        <v>27</v>
      </c>
      <c r="L36" s="6" t="s">
        <v>238</v>
      </c>
      <c r="M36" s="6" t="s">
        <v>239</v>
      </c>
      <c r="N36" s="45" t="s">
        <v>31</v>
      </c>
      <c r="O36" s="45" t="s">
        <v>30</v>
      </c>
      <c r="P36" s="45" t="s">
        <v>30</v>
      </c>
      <c r="Q36" s="45" t="s">
        <v>30</v>
      </c>
      <c r="R36" s="45" t="s">
        <v>31</v>
      </c>
      <c r="T36" t="str">
        <f>_xlfn.TEXTJOIN(", ",TRUE,C36:C42)</f>
        <v>Penetración de internet (% población), Suscripciones de telefonía móvil, Adultos que reciben o realizan pagos digitales (%), Servidores seguros de internet (por millón de personas), Sucursales bancarias (por 100.000 adultos), Cajeros automáticos (por 100.000 adultos), Exportaciones de productos TIC (% exportaciones de productos)</v>
      </c>
    </row>
    <row r="37" spans="1:20" ht="99" customHeight="1" x14ac:dyDescent="0.3">
      <c r="A37" s="21" t="s">
        <v>231</v>
      </c>
      <c r="B37" s="33">
        <v>31</v>
      </c>
      <c r="C37" s="2" t="s">
        <v>383</v>
      </c>
      <c r="D37" s="3" t="s">
        <v>240</v>
      </c>
      <c r="E37" s="3" t="s">
        <v>241</v>
      </c>
      <c r="F37" s="3" t="s">
        <v>242</v>
      </c>
      <c r="G37" s="3" t="s">
        <v>23</v>
      </c>
      <c r="H37" s="37" t="s">
        <v>24</v>
      </c>
      <c r="I37" s="6" t="s">
        <v>236</v>
      </c>
      <c r="J37" s="11" t="s">
        <v>243</v>
      </c>
      <c r="K37" s="3" t="s">
        <v>27</v>
      </c>
      <c r="L37" s="3" t="s">
        <v>244</v>
      </c>
      <c r="M37" s="3" t="s">
        <v>245</v>
      </c>
      <c r="N37" s="45" t="s">
        <v>31</v>
      </c>
      <c r="O37" s="45" t="s">
        <v>30</v>
      </c>
      <c r="P37" s="45" t="s">
        <v>30</v>
      </c>
      <c r="Q37" s="45" t="s">
        <v>30</v>
      </c>
      <c r="R37" s="45" t="s">
        <v>31</v>
      </c>
    </row>
    <row r="38" spans="1:20" ht="99" customHeight="1" x14ac:dyDescent="0.3">
      <c r="A38" s="21" t="s">
        <v>231</v>
      </c>
      <c r="B38" s="33">
        <v>32</v>
      </c>
      <c r="C38" s="5" t="s">
        <v>384</v>
      </c>
      <c r="D38" s="6" t="s">
        <v>246</v>
      </c>
      <c r="E38" s="6" t="s">
        <v>247</v>
      </c>
      <c r="F38" s="6" t="s">
        <v>248</v>
      </c>
      <c r="G38" s="6" t="s">
        <v>23</v>
      </c>
      <c r="H38" s="38" t="s">
        <v>24</v>
      </c>
      <c r="I38" s="6" t="s">
        <v>249</v>
      </c>
      <c r="J38" s="7" t="s">
        <v>250</v>
      </c>
      <c r="K38" s="6" t="s">
        <v>129</v>
      </c>
      <c r="L38" s="6" t="s">
        <v>251</v>
      </c>
      <c r="M38" s="6" t="s">
        <v>71</v>
      </c>
      <c r="N38" s="45" t="s">
        <v>31</v>
      </c>
      <c r="O38" s="45" t="s">
        <v>30</v>
      </c>
      <c r="P38" s="45" t="s">
        <v>30</v>
      </c>
      <c r="Q38" s="45" t="s">
        <v>30</v>
      </c>
      <c r="R38" s="45" t="s">
        <v>31</v>
      </c>
    </row>
    <row r="39" spans="1:20" ht="99" customHeight="1" x14ac:dyDescent="0.3">
      <c r="A39" s="21" t="s">
        <v>231</v>
      </c>
      <c r="B39" s="33">
        <v>33</v>
      </c>
      <c r="C39" s="5" t="s">
        <v>252</v>
      </c>
      <c r="D39" s="6" t="s">
        <v>253</v>
      </c>
      <c r="E39" s="6" t="s">
        <v>254</v>
      </c>
      <c r="F39" s="6" t="s">
        <v>255</v>
      </c>
      <c r="G39" s="6" t="s">
        <v>23</v>
      </c>
      <c r="H39" s="38" t="s">
        <v>24</v>
      </c>
      <c r="I39" s="6" t="s">
        <v>256</v>
      </c>
      <c r="J39" s="7" t="s">
        <v>257</v>
      </c>
      <c r="K39" s="6" t="s">
        <v>27</v>
      </c>
      <c r="L39" s="6" t="s">
        <v>258</v>
      </c>
      <c r="M39" s="6" t="s">
        <v>259</v>
      </c>
      <c r="N39" s="46" t="s">
        <v>31</v>
      </c>
      <c r="O39" s="46" t="s">
        <v>30</v>
      </c>
      <c r="P39" s="46" t="s">
        <v>30</v>
      </c>
      <c r="Q39" s="46" t="s">
        <v>30</v>
      </c>
      <c r="R39" s="46" t="s">
        <v>31</v>
      </c>
    </row>
    <row r="40" spans="1:20" ht="99" customHeight="1" x14ac:dyDescent="0.3">
      <c r="A40" s="21" t="s">
        <v>231</v>
      </c>
      <c r="B40" s="33">
        <v>34</v>
      </c>
      <c r="C40" s="5" t="s">
        <v>260</v>
      </c>
      <c r="D40" s="6" t="s">
        <v>261</v>
      </c>
      <c r="E40" s="6" t="s">
        <v>262</v>
      </c>
      <c r="F40" s="6" t="s">
        <v>263</v>
      </c>
      <c r="G40" s="6" t="s">
        <v>23</v>
      </c>
      <c r="H40" s="38" t="s">
        <v>82</v>
      </c>
      <c r="I40" s="6" t="s">
        <v>264</v>
      </c>
      <c r="J40" s="7" t="s">
        <v>265</v>
      </c>
      <c r="K40" s="6" t="s">
        <v>27</v>
      </c>
      <c r="L40" s="6" t="s">
        <v>266</v>
      </c>
      <c r="M40" s="6" t="s">
        <v>267</v>
      </c>
      <c r="N40" s="46" t="s">
        <v>30</v>
      </c>
      <c r="O40" s="46" t="s">
        <v>31</v>
      </c>
      <c r="P40" s="46" t="s">
        <v>31</v>
      </c>
      <c r="Q40" s="46" t="s">
        <v>31</v>
      </c>
      <c r="R40" s="46" t="s">
        <v>31</v>
      </c>
    </row>
    <row r="41" spans="1:20" ht="99" customHeight="1" x14ac:dyDescent="0.3">
      <c r="A41" s="21" t="s">
        <v>231</v>
      </c>
      <c r="B41" s="33">
        <v>35</v>
      </c>
      <c r="C41" s="5" t="s">
        <v>268</v>
      </c>
      <c r="D41" s="6" t="s">
        <v>269</v>
      </c>
      <c r="E41" s="6" t="s">
        <v>270</v>
      </c>
      <c r="F41" s="6" t="s">
        <v>271</v>
      </c>
      <c r="G41" s="6" t="s">
        <v>23</v>
      </c>
      <c r="H41" s="38" t="s">
        <v>82</v>
      </c>
      <c r="I41" s="6" t="s">
        <v>272</v>
      </c>
      <c r="J41" s="7" t="s">
        <v>273</v>
      </c>
      <c r="K41" s="6" t="s">
        <v>27</v>
      </c>
      <c r="L41" s="6" t="s">
        <v>266</v>
      </c>
      <c r="M41" s="6" t="s">
        <v>274</v>
      </c>
      <c r="N41" s="46" t="s">
        <v>31</v>
      </c>
      <c r="O41" s="46" t="s">
        <v>30</v>
      </c>
      <c r="P41" s="46" t="s">
        <v>31</v>
      </c>
      <c r="Q41" s="46" t="s">
        <v>31</v>
      </c>
      <c r="R41" s="46" t="s">
        <v>31</v>
      </c>
    </row>
    <row r="42" spans="1:20" ht="99" customHeight="1" x14ac:dyDescent="0.3">
      <c r="A42" s="21" t="s">
        <v>231</v>
      </c>
      <c r="B42" s="33">
        <v>36</v>
      </c>
      <c r="C42" s="5" t="s">
        <v>275</v>
      </c>
      <c r="D42" s="6" t="s">
        <v>276</v>
      </c>
      <c r="E42" s="6" t="s">
        <v>277</v>
      </c>
      <c r="F42" s="6" t="s">
        <v>278</v>
      </c>
      <c r="G42" s="6" t="s">
        <v>23</v>
      </c>
      <c r="H42" s="38" t="s">
        <v>24</v>
      </c>
      <c r="I42" s="6" t="s">
        <v>279</v>
      </c>
      <c r="J42" s="7" t="s">
        <v>280</v>
      </c>
      <c r="K42" s="6" t="s">
        <v>27</v>
      </c>
      <c r="L42" s="6" t="s">
        <v>281</v>
      </c>
      <c r="M42" s="6" t="s">
        <v>282</v>
      </c>
      <c r="N42" s="46" t="s">
        <v>31</v>
      </c>
      <c r="O42" s="46" t="s">
        <v>31</v>
      </c>
      <c r="P42" s="46" t="s">
        <v>30</v>
      </c>
      <c r="Q42" s="46" t="s">
        <v>30</v>
      </c>
      <c r="R42" s="46" t="s">
        <v>31</v>
      </c>
    </row>
    <row r="43" spans="1:20" ht="99" customHeight="1" x14ac:dyDescent="0.3">
      <c r="A43" s="22" t="s">
        <v>283</v>
      </c>
      <c r="B43" s="33">
        <v>37</v>
      </c>
      <c r="C43" s="5" t="s">
        <v>284</v>
      </c>
      <c r="D43" s="6" t="s">
        <v>285</v>
      </c>
      <c r="E43" s="6" t="s">
        <v>286</v>
      </c>
      <c r="F43" s="6" t="s">
        <v>378</v>
      </c>
      <c r="G43" s="6" t="s">
        <v>23</v>
      </c>
      <c r="H43" s="39" t="s">
        <v>50</v>
      </c>
      <c r="I43" s="6" t="s">
        <v>287</v>
      </c>
      <c r="J43" s="7" t="s">
        <v>288</v>
      </c>
      <c r="K43" s="6" t="s">
        <v>289</v>
      </c>
      <c r="L43" s="6" t="s">
        <v>290</v>
      </c>
      <c r="M43" s="6" t="s">
        <v>291</v>
      </c>
      <c r="N43" s="43" t="s">
        <v>30</v>
      </c>
      <c r="O43" s="43" t="s">
        <v>30</v>
      </c>
      <c r="P43" s="43" t="s">
        <v>31</v>
      </c>
      <c r="Q43" s="43" t="s">
        <v>30</v>
      </c>
      <c r="R43" s="43" t="s">
        <v>30</v>
      </c>
      <c r="T43" t="str">
        <f>_xlfn.TEXTJOIN(", ",TRUE,C43:C52)</f>
        <v>Distancia geográfica Bogotá–capital (km), Idioma común español (0/1), Distancia cultural Kogut–Singh (Hofstede 6-dim), Diáspora colombiana</v>
      </c>
    </row>
    <row r="44" spans="1:20" ht="99" customHeight="1" x14ac:dyDescent="0.3">
      <c r="A44" s="22" t="s">
        <v>283</v>
      </c>
      <c r="B44" s="33">
        <v>38</v>
      </c>
      <c r="C44" s="2" t="s">
        <v>292</v>
      </c>
      <c r="D44" s="3" t="s">
        <v>293</v>
      </c>
      <c r="E44" s="3" t="s">
        <v>294</v>
      </c>
      <c r="F44" s="3" t="s">
        <v>379</v>
      </c>
      <c r="G44" s="3" t="s">
        <v>23</v>
      </c>
      <c r="H44" s="37" t="s">
        <v>24</v>
      </c>
      <c r="I44" s="3" t="s">
        <v>295</v>
      </c>
      <c r="J44" s="4" t="s">
        <v>288</v>
      </c>
      <c r="K44" s="3" t="s">
        <v>289</v>
      </c>
      <c r="L44" s="3" t="s">
        <v>296</v>
      </c>
      <c r="M44" s="3" t="s">
        <v>297</v>
      </c>
      <c r="N44" s="43" t="s">
        <v>30</v>
      </c>
      <c r="O44" s="43" t="s">
        <v>30</v>
      </c>
      <c r="P44" s="43" t="s">
        <v>30</v>
      </c>
      <c r="Q44" s="43" t="s">
        <v>30</v>
      </c>
      <c r="R44" s="43" t="s">
        <v>30</v>
      </c>
    </row>
    <row r="45" spans="1:20" ht="99" customHeight="1" x14ac:dyDescent="0.3">
      <c r="A45" s="22" t="s">
        <v>283</v>
      </c>
      <c r="B45" s="33">
        <v>39</v>
      </c>
      <c r="C45" s="5" t="s">
        <v>298</v>
      </c>
      <c r="D45" s="6" t="s">
        <v>299</v>
      </c>
      <c r="E45" s="6" t="s">
        <v>300</v>
      </c>
      <c r="F45" s="6" t="s">
        <v>380</v>
      </c>
      <c r="G45" s="6" t="s">
        <v>23</v>
      </c>
      <c r="H45" s="39" t="s">
        <v>50</v>
      </c>
      <c r="I45" s="6" t="s">
        <v>301</v>
      </c>
      <c r="J45" s="10" t="s">
        <v>302</v>
      </c>
      <c r="K45" s="6" t="s">
        <v>289</v>
      </c>
      <c r="L45" s="6" t="s">
        <v>303</v>
      </c>
      <c r="M45" s="6" t="s">
        <v>304</v>
      </c>
      <c r="N45" s="43" t="s">
        <v>30</v>
      </c>
      <c r="O45" s="43" t="s">
        <v>30</v>
      </c>
      <c r="P45" s="43" t="s">
        <v>30</v>
      </c>
      <c r="Q45" s="43" t="s">
        <v>30</v>
      </c>
      <c r="R45" s="43" t="s">
        <v>30</v>
      </c>
    </row>
    <row r="46" spans="1:20" ht="99" customHeight="1" x14ac:dyDescent="0.3">
      <c r="A46" s="22" t="s">
        <v>283</v>
      </c>
      <c r="B46" s="33">
        <v>40</v>
      </c>
      <c r="C46" s="2" t="s">
        <v>305</v>
      </c>
      <c r="D46" s="6" t="s">
        <v>306</v>
      </c>
      <c r="E46" s="6" t="s">
        <v>307</v>
      </c>
      <c r="F46" s="6" t="s">
        <v>308</v>
      </c>
      <c r="G46" s="3" t="s">
        <v>23</v>
      </c>
      <c r="H46" s="38" t="s">
        <v>24</v>
      </c>
      <c r="I46" s="6" t="s">
        <v>309</v>
      </c>
      <c r="J46" s="10" t="s">
        <v>310</v>
      </c>
      <c r="K46" s="6" t="s">
        <v>27</v>
      </c>
      <c r="L46" s="6"/>
      <c r="M46" s="6"/>
      <c r="N46" s="45" t="s">
        <v>31</v>
      </c>
      <c r="O46" s="45" t="s">
        <v>31</v>
      </c>
      <c r="P46" s="45" t="s">
        <v>31</v>
      </c>
      <c r="Q46" s="45" t="s">
        <v>31</v>
      </c>
      <c r="R46" s="45" t="s">
        <v>31</v>
      </c>
    </row>
  </sheetData>
  <autoFilter ref="A6:R46" xr:uid="{00000000-0009-0000-0000-000000000000}"/>
  <mergeCells count="1">
    <mergeCell ref="A1:O1"/>
  </mergeCells>
  <conditionalFormatting sqref="N7:R69">
    <cfRule type="cellIs" dxfId="1" priority="1" operator="equal">
      <formula>"B"</formula>
    </cfRule>
    <cfRule type="cellIs" dxfId="0" priority="2" operator="equal">
      <formula>"A"</formula>
    </cfRule>
  </conditionalFormatting>
  <hyperlinks>
    <hyperlink ref="H7" r:id="rId1" xr:uid="{00000000-0004-0000-0000-000000000000}"/>
    <hyperlink ref="H8" r:id="rId2" xr:uid="{00000000-0004-0000-0000-000001000000}"/>
    <hyperlink ref="H9" r:id="rId3" xr:uid="{00000000-0004-0000-0000-000002000000}"/>
    <hyperlink ref="H10" r:id="rId4" xr:uid="{00000000-0004-0000-0000-000003000000}"/>
    <hyperlink ref="H11" r:id="rId5" xr:uid="{00000000-0004-0000-0000-000004000000}"/>
    <hyperlink ref="H12" r:id="rId6" xr:uid="{00000000-0004-0000-0000-000005000000}"/>
    <hyperlink ref="H13" r:id="rId7" xr:uid="{00000000-0004-0000-0000-000006000000}"/>
    <hyperlink ref="H14" r:id="rId8" xr:uid="{00000000-0004-0000-0000-000007000000}"/>
    <hyperlink ref="H15" r:id="rId9" xr:uid="{00000000-0004-0000-0000-000008000000}"/>
    <hyperlink ref="H16" r:id="rId10" xr:uid="{00000000-0004-0000-0000-000009000000}"/>
    <hyperlink ref="H17" r:id="rId11" xr:uid="{00000000-0004-0000-0000-00000A000000}"/>
    <hyperlink ref="H18" r:id="rId12" xr:uid="{00000000-0004-0000-0000-00000B000000}"/>
    <hyperlink ref="H19" r:id="rId13" xr:uid="{00000000-0004-0000-0000-00000C000000}"/>
    <hyperlink ref="H20" r:id="rId14" xr:uid="{00000000-0004-0000-0000-00000D000000}"/>
    <hyperlink ref="H21" r:id="rId15" xr:uid="{00000000-0004-0000-0000-00000E000000}"/>
    <hyperlink ref="H22" r:id="rId16" xr:uid="{00000000-0004-0000-0000-00000F000000}"/>
    <hyperlink ref="H23" r:id="rId17" xr:uid="{00000000-0004-0000-0000-000010000000}"/>
    <hyperlink ref="H24" r:id="rId18" xr:uid="{00000000-0004-0000-0000-000011000000}"/>
    <hyperlink ref="H25" r:id="rId19" xr:uid="{00000000-0004-0000-0000-000012000000}"/>
    <hyperlink ref="H26" r:id="rId20" xr:uid="{00000000-0004-0000-0000-000013000000}"/>
    <hyperlink ref="H27" r:id="rId21" xr:uid="{00000000-0004-0000-0000-000014000000}"/>
    <hyperlink ref="H28" r:id="rId22" xr:uid="{00000000-0004-0000-0000-000015000000}"/>
    <hyperlink ref="H29" r:id="rId23" display="https://pages.stern.nyu.edu/~adamodar/New_Home_Page/datafile/ctryprem.html" xr:uid="{00000000-0004-0000-0000-000016000000}"/>
    <hyperlink ref="H30" r:id="rId24" xr:uid="{00000000-0004-0000-0000-000017000000}"/>
    <hyperlink ref="H31" r:id="rId25" xr:uid="{00000000-0004-0000-0000-000018000000}"/>
    <hyperlink ref="H32" r:id="rId26" xr:uid="{00000000-0004-0000-0000-000019000000}"/>
    <hyperlink ref="H33" r:id="rId27" xr:uid="{00000000-0004-0000-0000-00001A000000}"/>
    <hyperlink ref="H34" r:id="rId28" xr:uid="{00000000-0004-0000-0000-00001B000000}"/>
    <hyperlink ref="H35" r:id="rId29" xr:uid="{00000000-0004-0000-0000-00001C000000}"/>
    <hyperlink ref="H36" r:id="rId30" display="https://suameca.banrep.gov.co/estadisticas-economicas-back/reporte-oac.html?path=%2FEstadisticas_Banco_de_la_Republica%2F4_Sector_Externo_tasas_de_cambio_y_derivados%2F2_Sector_Externo%2F6_Inversion_directa%2FIDCE%2F3_Inversion_Directa_de_Colombia_en_el_Exterior_(IDCE)_por_pais_destino&amp;hasTabs=true&amp;idCanva=1" xr:uid="{00000000-0004-0000-0000-00001D000000}"/>
    <hyperlink ref="H37" r:id="rId31" xr:uid="{00000000-0004-0000-0000-00001E000000}"/>
    <hyperlink ref="J29" r:id="rId32" xr:uid="{D2232765-9789-41C0-921B-CED724D3D185}"/>
    <hyperlink ref="J24" r:id="rId33" xr:uid="{CA3133ED-785C-4041-9102-135812D63601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zoomScaleNormal="100" workbookViewId="0">
      <selection activeCell="E10" sqref="E10:G10"/>
    </sheetView>
  </sheetViews>
  <sheetFormatPr baseColWidth="10" defaultColWidth="8.6640625" defaultRowHeight="14.4" x14ac:dyDescent="0.3"/>
  <cols>
    <col min="1" max="1" width="32" customWidth="1"/>
    <col min="2" max="2" width="28" customWidth="1"/>
    <col min="3" max="3" width="70" customWidth="1"/>
  </cols>
  <sheetData>
    <row r="1" spans="1:8" ht="17.399999999999999" customHeight="1" x14ac:dyDescent="0.3">
      <c r="A1" s="58" t="s">
        <v>311</v>
      </c>
      <c r="B1" s="57"/>
      <c r="C1" s="57"/>
    </row>
    <row r="2" spans="1:8" ht="3" customHeight="1" x14ac:dyDescent="0.3">
      <c r="A2" s="1"/>
      <c r="B2" s="1"/>
      <c r="C2" s="1"/>
    </row>
    <row r="4" spans="1:8" x14ac:dyDescent="0.3">
      <c r="A4" s="60" t="s">
        <v>312</v>
      </c>
      <c r="B4" s="61"/>
      <c r="C4" s="61"/>
    </row>
    <row r="5" spans="1:8" ht="37.5" customHeight="1" x14ac:dyDescent="0.3">
      <c r="A5" s="23" t="s">
        <v>20</v>
      </c>
      <c r="B5" s="47">
        <f>COUNTIF('Diccionario de Variables'!$A$7:$A$69,'Leyenda y Metodología'!A5)</f>
        <v>12</v>
      </c>
      <c r="C5" s="14" t="s">
        <v>313</v>
      </c>
    </row>
    <row r="6" spans="1:8" ht="37.5" customHeight="1" x14ac:dyDescent="0.3">
      <c r="A6" s="24" t="s">
        <v>115</v>
      </c>
      <c r="B6" s="47">
        <f>COUNTIF('Diccionario de Variables'!$A$7:$A$69,'Leyenda y Metodología'!A6)</f>
        <v>10</v>
      </c>
      <c r="C6" s="14" t="s">
        <v>314</v>
      </c>
    </row>
    <row r="7" spans="1:8" ht="37.5" customHeight="1" x14ac:dyDescent="0.3">
      <c r="A7" s="25" t="s">
        <v>188</v>
      </c>
      <c r="B7" s="47">
        <f>COUNTIF('Diccionario de Variables'!$A$7:$A$69,'Leyenda y Metodología'!A7)</f>
        <v>7</v>
      </c>
      <c r="C7" s="14" t="s">
        <v>315</v>
      </c>
    </row>
    <row r="8" spans="1:8" ht="37.5" customHeight="1" x14ac:dyDescent="0.3">
      <c r="A8" s="26" t="s">
        <v>231</v>
      </c>
      <c r="B8" s="47">
        <f>COUNTIF('Diccionario de Variables'!$A$7:$A$69,'Leyenda y Metodología'!A8)</f>
        <v>7</v>
      </c>
      <c r="C8" s="14" t="s">
        <v>316</v>
      </c>
    </row>
    <row r="9" spans="1:8" ht="37.5" customHeight="1" x14ac:dyDescent="0.3">
      <c r="A9" s="27" t="s">
        <v>283</v>
      </c>
      <c r="B9" s="47">
        <f>COUNTIF('Diccionario de Variables'!$A$7:$A$69,'Leyenda y Metodología'!A9)</f>
        <v>4</v>
      </c>
      <c r="C9" s="14" t="s">
        <v>382</v>
      </c>
    </row>
    <row r="10" spans="1:8" ht="37.5" customHeight="1" x14ac:dyDescent="0.3">
      <c r="B10" s="34">
        <f>SUM(B5:B9)</f>
        <v>40</v>
      </c>
      <c r="E10" s="55">
        <f>34/40</f>
        <v>0.85</v>
      </c>
      <c r="F10" s="55">
        <f>3/40</f>
        <v>7.4999999999999997E-2</v>
      </c>
      <c r="G10" s="55">
        <f>3/40</f>
        <v>7.4999999999999997E-2</v>
      </c>
      <c r="H10" s="48">
        <f>E10+F10+G10</f>
        <v>0.99999999999999989</v>
      </c>
    </row>
    <row r="11" spans="1:8" ht="37.5" customHeight="1" x14ac:dyDescent="0.3"/>
    <row r="12" spans="1:8" ht="37.5" customHeight="1" x14ac:dyDescent="0.3">
      <c r="A12" s="60" t="s">
        <v>317</v>
      </c>
      <c r="B12" s="61"/>
      <c r="C12" s="61"/>
    </row>
    <row r="13" spans="1:8" ht="37.5" customHeight="1" x14ac:dyDescent="0.3">
      <c r="A13" s="9" t="s">
        <v>2</v>
      </c>
      <c r="B13" s="14" t="s">
        <v>318</v>
      </c>
      <c r="C13" s="8"/>
    </row>
    <row r="14" spans="1:8" ht="37.5" customHeight="1" x14ac:dyDescent="0.3">
      <c r="A14" s="9" t="s">
        <v>3</v>
      </c>
      <c r="B14" s="14" t="s">
        <v>358</v>
      </c>
      <c r="C14" s="8"/>
    </row>
    <row r="15" spans="1:8" ht="37.5" customHeight="1" x14ac:dyDescent="0.3">
      <c r="A15" s="9" t="s">
        <v>4</v>
      </c>
      <c r="B15" s="14" t="s">
        <v>319</v>
      </c>
      <c r="C15" s="8"/>
    </row>
    <row r="16" spans="1:8" ht="37.5" customHeight="1" x14ac:dyDescent="0.3">
      <c r="A16" s="9" t="s">
        <v>5</v>
      </c>
      <c r="B16" s="14" t="s">
        <v>320</v>
      </c>
      <c r="C16" s="8"/>
    </row>
    <row r="17" spans="1:3" ht="37.5" customHeight="1" x14ac:dyDescent="0.3">
      <c r="A17" s="9" t="s">
        <v>7</v>
      </c>
      <c r="B17" s="17" t="s">
        <v>360</v>
      </c>
      <c r="C17" s="8"/>
    </row>
    <row r="18" spans="1:3" ht="37.5" customHeight="1" x14ac:dyDescent="0.3">
      <c r="A18" s="9" t="s">
        <v>355</v>
      </c>
      <c r="B18" s="14" t="s">
        <v>357</v>
      </c>
      <c r="C18" s="8"/>
    </row>
    <row r="19" spans="1:3" ht="37.5" customHeight="1" x14ac:dyDescent="0.3">
      <c r="A19" s="9" t="s">
        <v>8</v>
      </c>
      <c r="B19" s="14" t="s">
        <v>321</v>
      </c>
      <c r="C19" s="8"/>
    </row>
    <row r="20" spans="1:3" ht="37.5" customHeight="1" x14ac:dyDescent="0.3">
      <c r="A20" s="9" t="s">
        <v>9</v>
      </c>
      <c r="B20" s="14" t="s">
        <v>322</v>
      </c>
      <c r="C20" s="28" t="s">
        <v>323</v>
      </c>
    </row>
    <row r="21" spans="1:3" ht="37.5" customHeight="1" x14ac:dyDescent="0.3">
      <c r="A21" s="9" t="s">
        <v>10</v>
      </c>
      <c r="B21" s="14" t="s">
        <v>324</v>
      </c>
      <c r="C21" s="8"/>
    </row>
    <row r="22" spans="1:3" ht="37.5" customHeight="1" x14ac:dyDescent="0.3">
      <c r="A22" s="9" t="s">
        <v>325</v>
      </c>
      <c r="B22" s="14" t="s">
        <v>326</v>
      </c>
      <c r="C22" s="8"/>
    </row>
    <row r="23" spans="1:3" ht="37.5" customHeight="1" x14ac:dyDescent="0.3">
      <c r="A23" s="9" t="s">
        <v>12</v>
      </c>
      <c r="B23" s="14" t="s">
        <v>327</v>
      </c>
      <c r="C23" s="8"/>
    </row>
    <row r="24" spans="1:3" ht="37.5" customHeight="1" x14ac:dyDescent="0.3">
      <c r="A24" s="9" t="s">
        <v>13</v>
      </c>
      <c r="B24" s="14" t="s">
        <v>328</v>
      </c>
      <c r="C24" s="8"/>
    </row>
    <row r="25" spans="1:3" ht="37.5" customHeight="1" x14ac:dyDescent="0.3">
      <c r="A25" s="9" t="s">
        <v>329</v>
      </c>
      <c r="B25" s="14" t="s">
        <v>330</v>
      </c>
      <c r="C25" s="8"/>
    </row>
    <row r="26" spans="1:3" ht="37.5" customHeight="1" x14ac:dyDescent="0.3">
      <c r="A26" s="9" t="s">
        <v>354</v>
      </c>
      <c r="B26" s="14" t="s">
        <v>331</v>
      </c>
      <c r="C26" s="28" t="s">
        <v>356</v>
      </c>
    </row>
    <row r="27" spans="1:3" ht="37.5" customHeight="1" x14ac:dyDescent="0.3"/>
    <row r="28" spans="1:3" ht="37.5" customHeight="1" x14ac:dyDescent="0.3">
      <c r="A28" s="60" t="s">
        <v>332</v>
      </c>
      <c r="B28" s="61"/>
      <c r="C28" s="61"/>
    </row>
    <row r="29" spans="1:3" ht="37.5" customHeight="1" x14ac:dyDescent="0.3">
      <c r="A29" s="29" t="s">
        <v>15</v>
      </c>
      <c r="B29" s="30" t="s">
        <v>333</v>
      </c>
      <c r="C29" s="14" t="s">
        <v>334</v>
      </c>
    </row>
    <row r="30" spans="1:3" ht="37.5" customHeight="1" x14ac:dyDescent="0.3">
      <c r="A30" s="29" t="s">
        <v>16</v>
      </c>
      <c r="B30" s="30" t="s">
        <v>335</v>
      </c>
      <c r="C30" s="14" t="s">
        <v>336</v>
      </c>
    </row>
    <row r="31" spans="1:3" ht="37.5" customHeight="1" x14ac:dyDescent="0.3">
      <c r="A31" s="29" t="s">
        <v>17</v>
      </c>
      <c r="B31" s="30" t="s">
        <v>337</v>
      </c>
      <c r="C31" s="14" t="s">
        <v>338</v>
      </c>
    </row>
    <row r="32" spans="1:3" ht="37.5" customHeight="1" x14ac:dyDescent="0.3">
      <c r="A32" s="29" t="s">
        <v>18</v>
      </c>
      <c r="B32" s="30" t="s">
        <v>339</v>
      </c>
      <c r="C32" s="14" t="s">
        <v>340</v>
      </c>
    </row>
    <row r="33" spans="1:3" ht="37.5" customHeight="1" x14ac:dyDescent="0.3">
      <c r="A33" s="29" t="s">
        <v>19</v>
      </c>
      <c r="B33" s="30" t="s">
        <v>341</v>
      </c>
      <c r="C33" s="14" t="s">
        <v>342</v>
      </c>
    </row>
    <row r="34" spans="1:3" ht="37.5" customHeight="1" x14ac:dyDescent="0.3"/>
    <row r="35" spans="1:3" ht="37.5" customHeight="1" x14ac:dyDescent="0.3"/>
    <row r="36" spans="1:3" ht="37.5" customHeight="1" x14ac:dyDescent="0.3">
      <c r="A36" s="59" t="s">
        <v>343</v>
      </c>
      <c r="B36" s="57"/>
      <c r="C36" s="57"/>
    </row>
    <row r="37" spans="1:3" ht="37.5" customHeight="1" x14ac:dyDescent="0.3">
      <c r="A37" s="9" t="s">
        <v>344</v>
      </c>
      <c r="B37" s="56" t="s">
        <v>345</v>
      </c>
      <c r="C37" s="57"/>
    </row>
    <row r="38" spans="1:3" ht="37.5" customHeight="1" x14ac:dyDescent="0.3">
      <c r="A38" s="9" t="s">
        <v>346</v>
      </c>
      <c r="B38" s="56" t="s">
        <v>347</v>
      </c>
      <c r="C38" s="57"/>
    </row>
    <row r="39" spans="1:3" ht="37.5" customHeight="1" x14ac:dyDescent="0.3">
      <c r="A39" s="9" t="s">
        <v>348</v>
      </c>
      <c r="B39" s="56" t="s">
        <v>349</v>
      </c>
      <c r="C39" s="57"/>
    </row>
    <row r="40" spans="1:3" ht="37.5" customHeight="1" x14ac:dyDescent="0.3">
      <c r="A40" s="9" t="s">
        <v>350</v>
      </c>
      <c r="B40" s="56" t="s">
        <v>361</v>
      </c>
      <c r="C40" s="57"/>
    </row>
    <row r="41" spans="1:3" ht="37.5" customHeight="1" x14ac:dyDescent="0.3">
      <c r="A41" s="9" t="s">
        <v>351</v>
      </c>
      <c r="B41" s="56" t="s">
        <v>352</v>
      </c>
      <c r="C41" s="57"/>
    </row>
    <row r="42" spans="1:3" ht="37.5" customHeight="1" x14ac:dyDescent="0.3"/>
  </sheetData>
  <mergeCells count="10">
    <mergeCell ref="B41:C41"/>
    <mergeCell ref="B40:C40"/>
    <mergeCell ref="A1:C1"/>
    <mergeCell ref="B39:C39"/>
    <mergeCell ref="B38:C38"/>
    <mergeCell ref="A36:C36"/>
    <mergeCell ref="A12:C12"/>
    <mergeCell ref="A4:C4"/>
    <mergeCell ref="B37:C37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db84cf5-7b90-4975-ac59-48605b7615d6">
      <Terms xmlns="http://schemas.microsoft.com/office/infopath/2007/PartnerControls"/>
    </lcf76f155ced4ddcb4097134ff3c332f>
    <TaxCatchAll xmlns="aa7fe662-c9a2-42a2-b02e-3f1e743424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EA3508F8CBE148AE825618BC9A7D29" ma:contentTypeVersion="21" ma:contentTypeDescription="Crear nuevo documento." ma:contentTypeScope="" ma:versionID="dd349b4b0c5643cc5dc9918fe10d1b97">
  <xsd:schema xmlns:xsd="http://www.w3.org/2001/XMLSchema" xmlns:xs="http://www.w3.org/2001/XMLSchema" xmlns:p="http://schemas.microsoft.com/office/2006/metadata/properties" xmlns:ns1="http://schemas.microsoft.com/sharepoint/v3" xmlns:ns2="bdb84cf5-7b90-4975-ac59-48605b7615d6" xmlns:ns3="aa7fe662-c9a2-42a2-b02e-3f1e743424c8" targetNamespace="http://schemas.microsoft.com/office/2006/metadata/properties" ma:root="true" ma:fieldsID="5f829bcbeca986f3e22d5b0fba060e3d" ns1:_="" ns2:_="" ns3:_="">
    <xsd:import namespace="http://schemas.microsoft.com/sharepoint/v3"/>
    <xsd:import namespace="bdb84cf5-7b90-4975-ac59-48605b7615d6"/>
    <xsd:import namespace="aa7fe662-c9a2-42a2-b02e-3f1e74342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84cf5-7b90-4975-ac59-48605b761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fe662-c9a2-42a2-b02e-3f1e743424c8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b448d00f-e657-4ae6-a884-6481fdc4c969}" ma:internalName="TaxCatchAll" ma:showField="CatchAllData" ma:web="aa7fe662-c9a2-42a2-b02e-3f1e743424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D561DA-7CC4-42AB-B8E4-05BEAAAFCE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AB1613-657F-4E48-B39F-EC4454C449B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db84cf5-7b90-4975-ac59-48605b7615d6"/>
    <ds:schemaRef ds:uri="aa7fe662-c9a2-42a2-b02e-3f1e743424c8"/>
  </ds:schemaRefs>
</ds:datastoreItem>
</file>

<file path=customXml/itemProps3.xml><?xml version="1.0" encoding="utf-8"?>
<ds:datastoreItem xmlns:ds="http://schemas.openxmlformats.org/officeDocument/2006/customXml" ds:itemID="{978F4720-D943-4623-B6E6-0B3D18E83F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b84cf5-7b90-4975-ac59-48605b7615d6"/>
    <ds:schemaRef ds:uri="aa7fe662-c9a2-42a2-b02e-3f1e74342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Variables</vt:lpstr>
      <vt:lpstr>Leyenda y Metodología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Jhon Farley Adarve Diaz</cp:lastModifiedBy>
  <cp:revision>0</cp:revision>
  <dcterms:created xsi:type="dcterms:W3CDTF">2026-04-20T00:14:25Z</dcterms:created>
  <dcterms:modified xsi:type="dcterms:W3CDTF">2026-06-11T01:27:31Z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2026-05-19T13:22:09Z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7cbd875a-8fbd-4e91-9b83-3dcf81ff0db9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  <property fmtid="{D5CDD505-2E9C-101B-9397-08002B2CF9AE}" pid="10" name="ContentTypeId">
    <vt:lpwstr>0x0101002AEA3508F8CBE148AE825618BC9A7D29</vt:lpwstr>
  </property>
  <property fmtid="{D5CDD505-2E9C-101B-9397-08002B2CF9AE}" pid="11" name="MediaServiceImageTags">
    <vt:lpwstr/>
  </property>
</Properties>
</file>